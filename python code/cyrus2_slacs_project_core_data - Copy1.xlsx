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C3AE\EXCELCNV\579951ba-bbbb-471b-891f-d536196ecd65\"/>
    </mc:Choice>
  </mc:AlternateContent>
  <xr:revisionPtr revIDLastSave="7" documentId="8_{CA0B3126-0012-4B6A-8EA7-7BC5C88A7F19}" xr6:coauthVersionLast="47" xr6:coauthVersionMax="47" xr10:uidLastSave="{1D2F296D-0B0F-42ED-B244-247C5DBAD91C}"/>
  <bookViews>
    <workbookView xWindow="-60" yWindow="-60" windowWidth="15480" windowHeight="11640" xr2:uid="{D6ECC1D4-E44E-4089-A445-E2CA4FA151C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" i="1" l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C2" i="1"/>
  <c r="AB2" i="1"/>
</calcChain>
</file>

<file path=xl/sharedStrings.xml><?xml version="1.0" encoding="utf-8"?>
<sst xmlns="http://schemas.openxmlformats.org/spreadsheetml/2006/main" count="164" uniqueCount="95">
  <si>
    <t>name</t>
  </si>
  <si>
    <t>z_lens</t>
  </si>
  <si>
    <t>z_source</t>
  </si>
  <si>
    <t>D_L_Mpc</t>
  </si>
  <si>
    <t>D_S_Mpc</t>
  </si>
  <si>
    <t>D_LS_Mpc</t>
  </si>
  <si>
    <t>R_Ein_kpc</t>
  </si>
  <si>
    <t>theta_E_arcsec</t>
  </si>
  <si>
    <t>sigma_ap_km_s</t>
  </si>
  <si>
    <t>sigma_ap_err_km_s</t>
  </si>
  <si>
    <t>log_M_Ein_Msun</t>
  </si>
  <si>
    <t>M_Ein_Msun</t>
  </si>
  <si>
    <t>log_Mstar_Chab_total_Msun</t>
  </si>
  <si>
    <t>log_Mstar_Chab_err</t>
  </si>
  <si>
    <t>Mstar_Chab_total_Msun</t>
  </si>
  <si>
    <t>f_star_Ein_Chab</t>
  </si>
  <si>
    <t>f_star_Ein_Chab_err</t>
  </si>
  <si>
    <t>Mstar_Chab_within_Ein_Msun</t>
  </si>
  <si>
    <t>f_DM_Ein_Chab</t>
  </si>
  <si>
    <t>M_DM_within_Ein_Msun</t>
  </si>
  <si>
    <t>log_M_DM_within_Ein_Msun</t>
  </si>
  <si>
    <t>cosmology</t>
  </si>
  <si>
    <t>chi_L</t>
  </si>
  <si>
    <t>chi_s</t>
  </si>
  <si>
    <t>SDSSJ0008-0004</t>
  </si>
  <si>
    <t>Planck18-like flat LCDM; H0=67.66, Om0=0.3111, Ode0=0.6889</t>
  </si>
  <si>
    <t>SDSSJ0029-0055</t>
  </si>
  <si>
    <t>SDSSJ0037-0942</t>
  </si>
  <si>
    <t>SDSSJ0044+0113</t>
  </si>
  <si>
    <t>SDSSJ0157-0056</t>
  </si>
  <si>
    <t>SDSSJ0216-0813</t>
  </si>
  <si>
    <t>SDSSJ0252+0039</t>
  </si>
  <si>
    <t>SDSSJ0330-0020</t>
  </si>
  <si>
    <t>SDSSJ0728+3835</t>
  </si>
  <si>
    <t>SDSSJ0737+3216</t>
  </si>
  <si>
    <t>SDSSJ0819+4534</t>
  </si>
  <si>
    <t>SDSSJ0822+2652</t>
  </si>
  <si>
    <t>SDSSJ0841+3824</t>
  </si>
  <si>
    <t>SDSSJ0903+4116</t>
  </si>
  <si>
    <t>SDSSJ0912+0029</t>
  </si>
  <si>
    <t>SDSSJ0935-0003</t>
  </si>
  <si>
    <t>SDSSJ0936+0913</t>
  </si>
  <si>
    <t>SDSSJ0946+1006</t>
  </si>
  <si>
    <t>SDSSJ0955+0101</t>
  </si>
  <si>
    <t>SDSSJ0956+5100</t>
  </si>
  <si>
    <t>SDSSJ0959+0410</t>
  </si>
  <si>
    <t>SDSSJ0959+4416</t>
  </si>
  <si>
    <t>SDSSJ1016+3859</t>
  </si>
  <si>
    <t>SDSSJ1020+1122</t>
  </si>
  <si>
    <t>SDSSJ1023+4230</t>
  </si>
  <si>
    <t>SDSSJ1029+0420</t>
  </si>
  <si>
    <t>SDSSJ1032+5322</t>
  </si>
  <si>
    <t>SDSSJ1100+5329</t>
  </si>
  <si>
    <t>SDSSJ1103+5322</t>
  </si>
  <si>
    <t>SDSSJ1106+5228</t>
  </si>
  <si>
    <t>SDSSJ1112+0826</t>
  </si>
  <si>
    <t>SDSSJ1134+6027</t>
  </si>
  <si>
    <t>SDSSJ1142+1001</t>
  </si>
  <si>
    <t>SDSSJ1143-0144</t>
  </si>
  <si>
    <t>SDSSJ1153+4612</t>
  </si>
  <si>
    <t>SDSSJ1204+0358</t>
  </si>
  <si>
    <t>SDSSJ1205+4910</t>
  </si>
  <si>
    <t>SDSSJ1213+6708</t>
  </si>
  <si>
    <t>SDSSJ1218+0830</t>
  </si>
  <si>
    <t>SDSSJ1250+0523</t>
  </si>
  <si>
    <t>SDSSJ1251-0208</t>
  </si>
  <si>
    <t>SDSSJ1306+0600</t>
  </si>
  <si>
    <t>SDSSJ1313+4615</t>
  </si>
  <si>
    <t>SDSSJ1318-0313</t>
  </si>
  <si>
    <t>SDSSJ1330-0148</t>
  </si>
  <si>
    <t>SDSSJ1402+6321</t>
  </si>
  <si>
    <t>SDSSJ1403+0006</t>
  </si>
  <si>
    <t>SDSSJ1416+5136</t>
  </si>
  <si>
    <t>SDSSJ1420+6019</t>
  </si>
  <si>
    <t>SDSSJ1430+4105</t>
  </si>
  <si>
    <t>SDSSJ1432+6317</t>
  </si>
  <si>
    <t>SDSSJ1436-0000</t>
  </si>
  <si>
    <t>SDSSJ1443+0304</t>
  </si>
  <si>
    <t>SDSSJ1451-0239</t>
  </si>
  <si>
    <t>SDSSJ1525+3327</t>
  </si>
  <si>
    <t>SDSSJ1531-0105</t>
  </si>
  <si>
    <t>SDSSJ1538+5817</t>
  </si>
  <si>
    <t>SDSSJ1614+4522</t>
  </si>
  <si>
    <t>SDSSJ1621+3931</t>
  </si>
  <si>
    <t>SDSSJ1627-0053</t>
  </si>
  <si>
    <t>SDSSJ1630+4520</t>
  </si>
  <si>
    <t>SDSSJ1636+4707</t>
  </si>
  <si>
    <t>SDSSJ1644+2625</t>
  </si>
  <si>
    <t>SDSSJ1719+2939</t>
  </si>
  <si>
    <t>SDSSJ2238-0754</t>
  </si>
  <si>
    <t>SDSSJ2300+0022</t>
  </si>
  <si>
    <t>SDSSJ2303+1422</t>
  </si>
  <si>
    <t>SDSSJ2321-0939</t>
  </si>
  <si>
    <t>SDSSJ2341+0000</t>
  </si>
  <si>
    <t>SDSSJ2347-0005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</si>
</sst>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58F26-59D5-4D13-AB4D-17E393CE4276}">
  <dimension ref="A1:AC71"/>
  <sheetViews>
    <sheetView tabSelected="1" topLeftCell="L1" workbookViewId="0">
      <selection activeCell="M3" sqref="M3"/>
    </sheetView>
  </sheetViews>
  <sheetFormatPr defaultRowHeight="15"/>
  <cols>
    <col min="13" max="13" width="37.7109375" customWidth="1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AB1" t="s">
        <v>22</v>
      </c>
      <c r="AC1" t="s">
        <v>23</v>
      </c>
    </row>
    <row r="2" spans="1:29">
      <c r="A2" t="s">
        <v>24</v>
      </c>
      <c r="B2">
        <v>0.44</v>
      </c>
      <c r="C2">
        <v>1.1919999999999999</v>
      </c>
      <c r="D2">
        <v>1209.1588839999999</v>
      </c>
      <c r="E2">
        <v>1755.2325470000001</v>
      </c>
      <c r="F2">
        <v>960.89459299999999</v>
      </c>
      <c r="G2">
        <v>6.59</v>
      </c>
      <c r="H2">
        <v>1.124158</v>
      </c>
      <c r="I2">
        <v>193</v>
      </c>
      <c r="J2">
        <v>36</v>
      </c>
      <c r="K2">
        <v>11.55</v>
      </c>
      <c r="L2">
        <v>354813389000</v>
      </c>
      <c r="M2">
        <v>11.38</v>
      </c>
      <c r="N2">
        <v>0.14000000000000001</v>
      </c>
      <c r="O2">
        <v>239883292000</v>
      </c>
      <c r="P2">
        <v>0.27</v>
      </c>
      <c r="Q2">
        <v>0.09</v>
      </c>
      <c r="R2">
        <v>95799615030</v>
      </c>
      <c r="S2">
        <v>0.73</v>
      </c>
      <c r="T2">
        <v>259013773970</v>
      </c>
      <c r="U2">
        <v>11.4133</v>
      </c>
      <c r="V2" t="s">
        <v>25</v>
      </c>
      <c r="AB2">
        <f>D2*(1+B2)</f>
        <v>1741.1887929599998</v>
      </c>
      <c r="AC2">
        <f>E2*(1+C2)</f>
        <v>3847.4697430240003</v>
      </c>
    </row>
    <row r="3" spans="1:29">
      <c r="A3" t="s">
        <v>26</v>
      </c>
      <c r="B3">
        <v>0.22700000000000001</v>
      </c>
      <c r="C3">
        <v>0.93100000000000005</v>
      </c>
      <c r="D3">
        <v>774.90964299999996</v>
      </c>
      <c r="E3">
        <v>1667.9560839999999</v>
      </c>
      <c r="F3">
        <v>1175.5614009999999</v>
      </c>
      <c r="G3">
        <v>3.48</v>
      </c>
      <c r="H3">
        <v>0.92630400000000002</v>
      </c>
      <c r="I3">
        <v>229</v>
      </c>
      <c r="J3">
        <v>18</v>
      </c>
      <c r="K3">
        <v>11.08</v>
      </c>
      <c r="L3">
        <v>120226443000</v>
      </c>
      <c r="M3">
        <v>11.33</v>
      </c>
      <c r="N3">
        <v>0.13</v>
      </c>
      <c r="O3">
        <v>213796209000</v>
      </c>
      <c r="P3">
        <v>0.5</v>
      </c>
      <c r="Q3">
        <v>0.14000000000000001</v>
      </c>
      <c r="R3">
        <v>60113221500</v>
      </c>
      <c r="S3">
        <v>0.5</v>
      </c>
      <c r="T3">
        <v>60113221500</v>
      </c>
      <c r="U3">
        <v>10.779</v>
      </c>
      <c r="V3" t="s">
        <v>25</v>
      </c>
      <c r="AB3">
        <f t="shared" ref="AB3:AB66" si="0">D3*(1+B3)</f>
        <v>950.81413196100004</v>
      </c>
      <c r="AC3">
        <f t="shared" ref="AC3:AC66" si="1">E3*(1+C3)</f>
        <v>3220.8231982039997</v>
      </c>
    </row>
    <row r="4" spans="1:29">
      <c r="A4" t="s">
        <v>27</v>
      </c>
      <c r="B4">
        <v>0.19500000000000001</v>
      </c>
      <c r="C4">
        <v>0.63200000000000001</v>
      </c>
      <c r="D4">
        <v>689.16887299999996</v>
      </c>
      <c r="E4">
        <v>1453.882044</v>
      </c>
      <c r="F4">
        <v>949.25165000000004</v>
      </c>
      <c r="G4">
        <v>4.95</v>
      </c>
      <c r="H4">
        <v>1.4815100000000001</v>
      </c>
      <c r="I4">
        <v>279</v>
      </c>
      <c r="J4">
        <v>10</v>
      </c>
      <c r="K4">
        <v>11.47</v>
      </c>
      <c r="L4">
        <v>295120923000</v>
      </c>
      <c r="M4">
        <v>11.48</v>
      </c>
      <c r="N4">
        <v>0.06</v>
      </c>
      <c r="O4">
        <v>301995172000</v>
      </c>
      <c r="P4">
        <v>0.4</v>
      </c>
      <c r="Q4">
        <v>0.06</v>
      </c>
      <c r="R4">
        <v>118048369200</v>
      </c>
      <c r="S4">
        <v>0.6</v>
      </c>
      <c r="T4">
        <v>177072553800</v>
      </c>
      <c r="U4">
        <v>11.248200000000001</v>
      </c>
      <c r="V4" t="s">
        <v>25</v>
      </c>
      <c r="AB4">
        <f t="shared" si="0"/>
        <v>823.55680323499996</v>
      </c>
      <c r="AC4">
        <f t="shared" si="1"/>
        <v>2372.735495808</v>
      </c>
    </row>
    <row r="5" spans="1:29">
      <c r="A5" t="s">
        <v>28</v>
      </c>
      <c r="B5">
        <v>0.12</v>
      </c>
      <c r="C5">
        <v>0.19700000000000001</v>
      </c>
      <c r="D5">
        <v>461.17409099999998</v>
      </c>
      <c r="E5">
        <v>694.71691799999996</v>
      </c>
      <c r="F5">
        <v>263.20899600000001</v>
      </c>
      <c r="G5">
        <v>1.72</v>
      </c>
      <c r="H5">
        <v>0.76928799999999997</v>
      </c>
      <c r="I5">
        <v>266</v>
      </c>
      <c r="J5">
        <v>13</v>
      </c>
      <c r="K5">
        <v>10.96</v>
      </c>
      <c r="L5">
        <v>91201083900</v>
      </c>
      <c r="M5">
        <v>11.23</v>
      </c>
      <c r="N5">
        <v>0.09</v>
      </c>
      <c r="O5">
        <v>169824365000</v>
      </c>
      <c r="P5">
        <v>0.37</v>
      </c>
      <c r="Q5">
        <v>0.08</v>
      </c>
      <c r="R5">
        <v>33744401043</v>
      </c>
      <c r="S5">
        <v>0.63</v>
      </c>
      <c r="T5">
        <v>57456682857</v>
      </c>
      <c r="U5">
        <v>10.7593</v>
      </c>
      <c r="V5" t="s">
        <v>25</v>
      </c>
      <c r="AB5">
        <f t="shared" si="0"/>
        <v>516.51498191999997</v>
      </c>
      <c r="AC5">
        <f t="shared" si="1"/>
        <v>831.57615084600002</v>
      </c>
    </row>
    <row r="6" spans="1:29">
      <c r="A6" t="s">
        <v>29</v>
      </c>
      <c r="B6">
        <v>0.51300000000000001</v>
      </c>
      <c r="C6">
        <v>0.92400000000000004</v>
      </c>
      <c r="D6">
        <v>1315.26315</v>
      </c>
      <c r="E6">
        <v>1664.585368</v>
      </c>
      <c r="F6">
        <v>630.28539599999999</v>
      </c>
      <c r="G6">
        <v>4.8899999999999997</v>
      </c>
      <c r="H6">
        <v>0.76686900000000002</v>
      </c>
      <c r="I6">
        <v>295</v>
      </c>
      <c r="J6">
        <v>47</v>
      </c>
      <c r="K6">
        <v>11.41</v>
      </c>
      <c r="L6">
        <v>257039578000</v>
      </c>
      <c r="M6">
        <v>11.5</v>
      </c>
      <c r="N6">
        <v>0.1</v>
      </c>
      <c r="O6">
        <v>316227766000</v>
      </c>
      <c r="P6">
        <v>0.51</v>
      </c>
      <c r="Q6">
        <v>0.12</v>
      </c>
      <c r="R6">
        <v>131090184780</v>
      </c>
      <c r="S6">
        <v>0.49</v>
      </c>
      <c r="T6">
        <v>125949393220</v>
      </c>
      <c r="U6">
        <v>11.100199999999999</v>
      </c>
      <c r="V6" t="s">
        <v>25</v>
      </c>
      <c r="AB6">
        <f t="shared" si="0"/>
        <v>1989.9931459499999</v>
      </c>
      <c r="AC6">
        <f t="shared" si="1"/>
        <v>3202.6622480319998</v>
      </c>
    </row>
    <row r="7" spans="1:29">
      <c r="A7" t="s">
        <v>30</v>
      </c>
      <c r="B7">
        <v>0.33200000000000002</v>
      </c>
      <c r="C7">
        <v>0.52300000000000002</v>
      </c>
      <c r="D7">
        <v>1015.504949</v>
      </c>
      <c r="E7">
        <v>1328.4509989999999</v>
      </c>
      <c r="F7">
        <v>440.300905</v>
      </c>
      <c r="G7">
        <v>5.53</v>
      </c>
      <c r="H7">
        <v>1.123229</v>
      </c>
      <c r="I7">
        <v>333</v>
      </c>
      <c r="J7">
        <v>23</v>
      </c>
      <c r="K7">
        <v>11.69</v>
      </c>
      <c r="L7">
        <v>489778819000</v>
      </c>
      <c r="M7">
        <v>11.79</v>
      </c>
      <c r="N7">
        <v>7.0000000000000007E-2</v>
      </c>
      <c r="O7">
        <v>616595002000</v>
      </c>
      <c r="P7">
        <v>0.36</v>
      </c>
      <c r="Q7">
        <v>0.06</v>
      </c>
      <c r="R7">
        <v>176320374840</v>
      </c>
      <c r="S7">
        <v>0.64</v>
      </c>
      <c r="T7">
        <v>313458444160</v>
      </c>
      <c r="U7">
        <v>11.4962</v>
      </c>
      <c r="V7" t="s">
        <v>25</v>
      </c>
      <c r="AB7">
        <f t="shared" si="0"/>
        <v>1352.6525920680001</v>
      </c>
      <c r="AC7">
        <f t="shared" si="1"/>
        <v>2023.2308714769999</v>
      </c>
    </row>
    <row r="8" spans="1:29">
      <c r="A8" t="s">
        <v>31</v>
      </c>
      <c r="B8">
        <v>0.28000000000000003</v>
      </c>
      <c r="C8">
        <v>0.98199999999999998</v>
      </c>
      <c r="D8">
        <v>903.63338099999999</v>
      </c>
      <c r="E8">
        <v>1690.6602439999999</v>
      </c>
      <c r="F8">
        <v>1107.0826830000001</v>
      </c>
      <c r="G8">
        <v>4.4000000000000004</v>
      </c>
      <c r="H8">
        <v>1.004351</v>
      </c>
      <c r="I8">
        <v>164</v>
      </c>
      <c r="J8">
        <v>12</v>
      </c>
      <c r="K8">
        <v>11.25</v>
      </c>
      <c r="L8">
        <v>177827941000</v>
      </c>
      <c r="M8">
        <v>11.21</v>
      </c>
      <c r="N8">
        <v>0.13</v>
      </c>
      <c r="O8">
        <v>162181010000</v>
      </c>
      <c r="P8">
        <v>0.4</v>
      </c>
      <c r="Q8">
        <v>0.12</v>
      </c>
      <c r="R8">
        <v>71131176400</v>
      </c>
      <c r="S8">
        <v>0.6</v>
      </c>
      <c r="T8">
        <v>106696764600</v>
      </c>
      <c r="U8">
        <v>11.0282</v>
      </c>
      <c r="V8" t="s">
        <v>25</v>
      </c>
      <c r="AB8">
        <f t="shared" si="0"/>
        <v>1156.65072768</v>
      </c>
      <c r="AC8">
        <f t="shared" si="1"/>
        <v>3350.8886036079998</v>
      </c>
    </row>
    <row r="9" spans="1:29">
      <c r="A9" t="s">
        <v>32</v>
      </c>
      <c r="B9">
        <v>0.35099999999999998</v>
      </c>
      <c r="C9">
        <v>1.071</v>
      </c>
      <c r="D9">
        <v>1053.1526490000001</v>
      </c>
      <c r="E9">
        <v>1723.192092</v>
      </c>
      <c r="F9">
        <v>1036.17653</v>
      </c>
      <c r="G9">
        <v>5.45</v>
      </c>
      <c r="H9">
        <v>1.0674079999999999</v>
      </c>
      <c r="I9">
        <v>212</v>
      </c>
      <c r="J9">
        <v>21</v>
      </c>
      <c r="K9">
        <v>11.4</v>
      </c>
      <c r="L9">
        <v>251188643000</v>
      </c>
      <c r="M9">
        <v>11.35</v>
      </c>
      <c r="N9">
        <v>0.09</v>
      </c>
      <c r="O9">
        <v>223872114000</v>
      </c>
      <c r="P9">
        <v>0.41</v>
      </c>
      <c r="Q9">
        <v>0.08</v>
      </c>
      <c r="R9">
        <v>102987343630</v>
      </c>
      <c r="S9">
        <v>0.59</v>
      </c>
      <c r="T9">
        <v>148201299370</v>
      </c>
      <c r="U9">
        <v>11.1709</v>
      </c>
      <c r="V9" t="s">
        <v>25</v>
      </c>
      <c r="AB9">
        <f t="shared" si="0"/>
        <v>1422.809228799</v>
      </c>
      <c r="AC9">
        <f t="shared" si="1"/>
        <v>3568.7308225319994</v>
      </c>
    </row>
    <row r="10" spans="1:29">
      <c r="A10" t="s">
        <v>33</v>
      </c>
      <c r="B10">
        <v>0.20599999999999999</v>
      </c>
      <c r="C10">
        <v>0.68799999999999994</v>
      </c>
      <c r="D10">
        <v>719.36542999999995</v>
      </c>
      <c r="E10">
        <v>1506.802876</v>
      </c>
      <c r="F10">
        <v>992.84866499999998</v>
      </c>
      <c r="G10">
        <v>4.21</v>
      </c>
      <c r="H10">
        <v>1.2071400000000001</v>
      </c>
      <c r="I10">
        <v>214</v>
      </c>
      <c r="J10">
        <v>11</v>
      </c>
      <c r="K10">
        <v>11.3</v>
      </c>
      <c r="L10">
        <v>199526231000</v>
      </c>
      <c r="M10">
        <v>11.44</v>
      </c>
      <c r="N10">
        <v>0.12</v>
      </c>
      <c r="O10">
        <v>275422870000</v>
      </c>
      <c r="P10">
        <v>0.56000000000000005</v>
      </c>
      <c r="Q10">
        <v>0.16</v>
      </c>
      <c r="R10">
        <v>111734689360</v>
      </c>
      <c r="S10">
        <v>0.44</v>
      </c>
      <c r="T10">
        <v>87791541639.999893</v>
      </c>
      <c r="U10">
        <v>10.9435</v>
      </c>
      <c r="V10" t="s">
        <v>25</v>
      </c>
      <c r="AB10">
        <f t="shared" si="0"/>
        <v>867.5547085799999</v>
      </c>
      <c r="AC10">
        <f t="shared" si="1"/>
        <v>2543.4832546879998</v>
      </c>
    </row>
    <row r="11" spans="1:29">
      <c r="A11" t="s">
        <v>34</v>
      </c>
      <c r="B11">
        <v>0.32200000000000001</v>
      </c>
      <c r="C11">
        <v>0.58099999999999996</v>
      </c>
      <c r="D11">
        <v>995.01913000000002</v>
      </c>
      <c r="E11">
        <v>1399.168946</v>
      </c>
      <c r="F11">
        <v>567.15421600000002</v>
      </c>
      <c r="G11">
        <v>4.66</v>
      </c>
      <c r="H11">
        <v>0.96600600000000003</v>
      </c>
      <c r="I11">
        <v>338</v>
      </c>
      <c r="J11">
        <v>16</v>
      </c>
      <c r="K11">
        <v>11.46</v>
      </c>
      <c r="L11">
        <v>288403150000</v>
      </c>
      <c r="M11">
        <v>11.72</v>
      </c>
      <c r="N11">
        <v>7.0000000000000007E-2</v>
      </c>
      <c r="O11">
        <v>524807460000</v>
      </c>
      <c r="P11">
        <v>0.41</v>
      </c>
      <c r="Q11">
        <v>7.0000000000000007E-2</v>
      </c>
      <c r="R11">
        <v>118245291500</v>
      </c>
      <c r="S11">
        <v>0.59</v>
      </c>
      <c r="T11">
        <v>170157858500</v>
      </c>
      <c r="U11">
        <v>11.2309</v>
      </c>
      <c r="V11" t="s">
        <v>25</v>
      </c>
      <c r="AB11">
        <f t="shared" si="0"/>
        <v>1315.41528986</v>
      </c>
      <c r="AC11">
        <f t="shared" si="1"/>
        <v>2212.0861036259998</v>
      </c>
    </row>
    <row r="12" spans="1:29">
      <c r="A12" t="s">
        <v>35</v>
      </c>
      <c r="B12">
        <v>0.19400000000000001</v>
      </c>
      <c r="C12">
        <v>0.44600000000000001</v>
      </c>
      <c r="D12">
        <v>686.38512700000001</v>
      </c>
      <c r="E12">
        <v>1218.5702409999999</v>
      </c>
      <c r="F12">
        <v>651.80409899999995</v>
      </c>
      <c r="G12">
        <v>2.73</v>
      </c>
      <c r="H12">
        <v>0.82038900000000003</v>
      </c>
      <c r="I12">
        <v>225</v>
      </c>
      <c r="J12">
        <v>15</v>
      </c>
      <c r="K12">
        <v>11.04</v>
      </c>
      <c r="L12">
        <v>109647820000</v>
      </c>
      <c r="M12">
        <v>11.15</v>
      </c>
      <c r="N12">
        <v>0.08</v>
      </c>
      <c r="O12">
        <v>141253754000</v>
      </c>
      <c r="P12">
        <v>0.32</v>
      </c>
      <c r="Q12">
        <v>0.06</v>
      </c>
      <c r="R12">
        <v>35087302400</v>
      </c>
      <c r="S12">
        <v>0.68</v>
      </c>
      <c r="T12">
        <v>74560517600</v>
      </c>
      <c r="U12">
        <v>10.8725</v>
      </c>
      <c r="V12" t="s">
        <v>25</v>
      </c>
      <c r="AB12">
        <f t="shared" si="0"/>
        <v>819.543841638</v>
      </c>
      <c r="AC12">
        <f t="shared" si="1"/>
        <v>1762.0525684859997</v>
      </c>
    </row>
    <row r="13" spans="1:29">
      <c r="A13" t="s">
        <v>36</v>
      </c>
      <c r="B13">
        <v>0.24099999999999999</v>
      </c>
      <c r="C13">
        <v>0.59399999999999997</v>
      </c>
      <c r="D13">
        <v>810.46209599999997</v>
      </c>
      <c r="E13">
        <v>1413.745678</v>
      </c>
      <c r="F13">
        <v>782.76483700000006</v>
      </c>
      <c r="G13">
        <v>4.45</v>
      </c>
      <c r="H13">
        <v>1.1325369999999999</v>
      </c>
      <c r="I13">
        <v>259</v>
      </c>
      <c r="J13">
        <v>15</v>
      </c>
      <c r="K13">
        <v>11.38</v>
      </c>
      <c r="L13">
        <v>239883292000</v>
      </c>
      <c r="M13">
        <v>11.43</v>
      </c>
      <c r="N13">
        <v>0.13</v>
      </c>
      <c r="O13">
        <v>269153480000</v>
      </c>
      <c r="P13">
        <v>0.41</v>
      </c>
      <c r="Q13">
        <v>0.12</v>
      </c>
      <c r="R13">
        <v>98352149720</v>
      </c>
      <c r="S13">
        <v>0.59</v>
      </c>
      <c r="T13">
        <v>141531142280</v>
      </c>
      <c r="U13">
        <v>11.1509</v>
      </c>
      <c r="V13" t="s">
        <v>25</v>
      </c>
      <c r="AB13">
        <f t="shared" si="0"/>
        <v>1005.783461136</v>
      </c>
      <c r="AC13">
        <f t="shared" si="1"/>
        <v>2253.5106107319998</v>
      </c>
    </row>
    <row r="14" spans="1:29">
      <c r="A14" t="s">
        <v>37</v>
      </c>
      <c r="B14">
        <v>0.11600000000000001</v>
      </c>
      <c r="C14">
        <v>0.65700000000000003</v>
      </c>
      <c r="D14">
        <v>447.84497900000002</v>
      </c>
      <c r="E14">
        <v>1478.3837980000001</v>
      </c>
      <c r="F14">
        <v>1176.757366</v>
      </c>
      <c r="G14">
        <v>2.96</v>
      </c>
      <c r="H14">
        <v>1.3632930000000001</v>
      </c>
      <c r="I14">
        <v>225</v>
      </c>
      <c r="J14">
        <v>8</v>
      </c>
      <c r="K14">
        <v>11.12</v>
      </c>
      <c r="L14">
        <v>131825674000</v>
      </c>
      <c r="M14">
        <v>11.41</v>
      </c>
      <c r="N14">
        <v>0.15</v>
      </c>
      <c r="O14">
        <v>257039578000</v>
      </c>
      <c r="P14">
        <v>0.31</v>
      </c>
      <c r="Q14">
        <v>0.1</v>
      </c>
      <c r="R14">
        <v>40865958940</v>
      </c>
      <c r="S14">
        <v>0.69</v>
      </c>
      <c r="T14">
        <v>90959715060</v>
      </c>
      <c r="U14">
        <v>10.9588</v>
      </c>
      <c r="V14" t="s">
        <v>25</v>
      </c>
      <c r="AB14">
        <f t="shared" si="0"/>
        <v>499.79499656400009</v>
      </c>
      <c r="AC14">
        <f t="shared" si="1"/>
        <v>2449.681953286</v>
      </c>
    </row>
    <row r="15" spans="1:29">
      <c r="A15" t="s">
        <v>38</v>
      </c>
      <c r="B15">
        <v>0.43</v>
      </c>
      <c r="C15">
        <v>1.0649999999999999</v>
      </c>
      <c r="D15">
        <v>1193.181163</v>
      </c>
      <c r="E15">
        <v>1721.257932</v>
      </c>
      <c r="F15">
        <v>894.98720000000003</v>
      </c>
      <c r="G15">
        <v>7.23</v>
      </c>
      <c r="H15">
        <v>1.2498480000000001</v>
      </c>
      <c r="I15">
        <v>223</v>
      </c>
      <c r="J15">
        <v>27</v>
      </c>
      <c r="K15">
        <v>11.66</v>
      </c>
      <c r="L15">
        <v>457088190000</v>
      </c>
      <c r="M15">
        <v>11.59</v>
      </c>
      <c r="N15">
        <v>0.14000000000000001</v>
      </c>
      <c r="O15">
        <v>389045145000</v>
      </c>
      <c r="P15">
        <v>0.35</v>
      </c>
      <c r="Q15">
        <v>0.11</v>
      </c>
      <c r="R15">
        <v>159980866500</v>
      </c>
      <c r="S15">
        <v>0.65</v>
      </c>
      <c r="T15">
        <v>297107323500</v>
      </c>
      <c r="U15">
        <v>11.472899999999999</v>
      </c>
      <c r="V15" t="s">
        <v>25</v>
      </c>
      <c r="AB15">
        <f t="shared" si="0"/>
        <v>1706.2490630899999</v>
      </c>
      <c r="AC15">
        <f t="shared" si="1"/>
        <v>3554.3976295799998</v>
      </c>
    </row>
    <row r="16" spans="1:29">
      <c r="A16" t="s">
        <v>39</v>
      </c>
      <c r="B16">
        <v>0.16400000000000001</v>
      </c>
      <c r="C16">
        <v>0.32400000000000001</v>
      </c>
      <c r="D16">
        <v>599.77355999999997</v>
      </c>
      <c r="E16">
        <v>999.15411099999994</v>
      </c>
      <c r="F16">
        <v>471.86074000000002</v>
      </c>
      <c r="G16">
        <v>4.58</v>
      </c>
      <c r="H16">
        <v>1.5750820000000001</v>
      </c>
      <c r="I16">
        <v>326</v>
      </c>
      <c r="J16">
        <v>12</v>
      </c>
      <c r="K16">
        <v>11.6</v>
      </c>
      <c r="L16">
        <v>398107171000</v>
      </c>
      <c r="M16">
        <v>11.71</v>
      </c>
      <c r="N16">
        <v>7.0000000000000007E-2</v>
      </c>
      <c r="O16">
        <v>512861384000</v>
      </c>
      <c r="P16">
        <v>0.34</v>
      </c>
      <c r="Q16">
        <v>0.05</v>
      </c>
      <c r="R16">
        <v>135356438140</v>
      </c>
      <c r="S16">
        <v>0.66</v>
      </c>
      <c r="T16">
        <v>262750732859.99899</v>
      </c>
      <c r="U16">
        <v>11.419499999999999</v>
      </c>
      <c r="V16" t="s">
        <v>25</v>
      </c>
      <c r="AB16">
        <f t="shared" si="0"/>
        <v>698.13642383999991</v>
      </c>
      <c r="AC16">
        <f t="shared" si="1"/>
        <v>1322.880042964</v>
      </c>
    </row>
    <row r="17" spans="1:29">
      <c r="A17" t="s">
        <v>40</v>
      </c>
      <c r="B17">
        <v>0.34699999999999998</v>
      </c>
      <c r="C17">
        <v>0.46700000000000003</v>
      </c>
      <c r="D17">
        <v>1045.363016</v>
      </c>
      <c r="E17">
        <v>1250.5029199999999</v>
      </c>
      <c r="F17">
        <v>290.650171</v>
      </c>
      <c r="G17">
        <v>4.26</v>
      </c>
      <c r="H17">
        <v>0.84055800000000003</v>
      </c>
      <c r="I17">
        <v>396</v>
      </c>
      <c r="J17">
        <v>35</v>
      </c>
      <c r="K17">
        <v>11.6</v>
      </c>
      <c r="L17">
        <v>398107171000</v>
      </c>
      <c r="M17">
        <v>11.72</v>
      </c>
      <c r="N17">
        <v>7.0000000000000007E-2</v>
      </c>
      <c r="O17">
        <v>524807460000</v>
      </c>
      <c r="P17">
        <v>0.2</v>
      </c>
      <c r="Q17">
        <v>0.03</v>
      </c>
      <c r="R17">
        <v>79621434200</v>
      </c>
      <c r="S17">
        <v>0.8</v>
      </c>
      <c r="T17">
        <v>318485736800</v>
      </c>
      <c r="U17">
        <v>11.5031</v>
      </c>
      <c r="V17" t="s">
        <v>25</v>
      </c>
      <c r="AB17">
        <f t="shared" si="0"/>
        <v>1408.1039825519999</v>
      </c>
      <c r="AC17">
        <f t="shared" si="1"/>
        <v>1834.4877836399999</v>
      </c>
    </row>
    <row r="18" spans="1:29">
      <c r="A18" t="s">
        <v>41</v>
      </c>
      <c r="B18">
        <v>0.19</v>
      </c>
      <c r="C18">
        <v>0.58799999999999997</v>
      </c>
      <c r="D18">
        <v>675.18494199999998</v>
      </c>
      <c r="E18">
        <v>1407.0732399999999</v>
      </c>
      <c r="F18">
        <v>901.10971300000006</v>
      </c>
      <c r="G18">
        <v>3.45</v>
      </c>
      <c r="H18">
        <v>1.0539540000000001</v>
      </c>
      <c r="I18">
        <v>243</v>
      </c>
      <c r="J18">
        <v>11</v>
      </c>
      <c r="K18">
        <v>11.17</v>
      </c>
      <c r="L18">
        <v>147910839000</v>
      </c>
      <c r="M18">
        <v>11.43</v>
      </c>
      <c r="N18">
        <v>0.12</v>
      </c>
      <c r="O18">
        <v>269153480000</v>
      </c>
      <c r="P18">
        <v>0.56999999999999995</v>
      </c>
      <c r="Q18">
        <v>0.16</v>
      </c>
      <c r="R18">
        <v>84309178230</v>
      </c>
      <c r="S18">
        <v>0.43</v>
      </c>
      <c r="T18">
        <v>63601660770</v>
      </c>
      <c r="U18">
        <v>10.8035</v>
      </c>
      <c r="V18" t="s">
        <v>25</v>
      </c>
      <c r="AB18">
        <f t="shared" si="0"/>
        <v>803.47008097999992</v>
      </c>
      <c r="AC18">
        <f t="shared" si="1"/>
        <v>2234.4323051199999</v>
      </c>
    </row>
    <row r="19" spans="1:29">
      <c r="A19" t="s">
        <v>42</v>
      </c>
      <c r="B19">
        <v>0.222</v>
      </c>
      <c r="C19">
        <v>0.60899999999999999</v>
      </c>
      <c r="D19">
        <v>761.92974100000004</v>
      </c>
      <c r="E19">
        <v>1430.020368</v>
      </c>
      <c r="F19">
        <v>851.35154</v>
      </c>
      <c r="G19">
        <v>4.95</v>
      </c>
      <c r="H19">
        <v>1.340033</v>
      </c>
      <c r="I19">
        <v>263</v>
      </c>
      <c r="J19">
        <v>21</v>
      </c>
      <c r="K19">
        <v>11.46</v>
      </c>
      <c r="L19">
        <v>288403150000</v>
      </c>
      <c r="M19">
        <v>11.34</v>
      </c>
      <c r="N19">
        <v>0.12</v>
      </c>
      <c r="O19">
        <v>218776162000</v>
      </c>
      <c r="P19">
        <v>0.26</v>
      </c>
      <c r="Q19">
        <v>7.0000000000000007E-2</v>
      </c>
      <c r="R19">
        <v>74984819000</v>
      </c>
      <c r="S19">
        <v>0.74</v>
      </c>
      <c r="T19">
        <v>213418331000</v>
      </c>
      <c r="U19">
        <v>11.3292</v>
      </c>
      <c r="V19" t="s">
        <v>25</v>
      </c>
      <c r="AB19">
        <f t="shared" si="0"/>
        <v>931.07814350199999</v>
      </c>
      <c r="AC19">
        <f t="shared" si="1"/>
        <v>2300.9027721120001</v>
      </c>
    </row>
    <row r="20" spans="1:29">
      <c r="A20" t="s">
        <v>43</v>
      </c>
      <c r="B20">
        <v>0.111</v>
      </c>
      <c r="C20">
        <v>0.316</v>
      </c>
      <c r="D20">
        <v>431.00470000000001</v>
      </c>
      <c r="E20">
        <v>982.49930400000005</v>
      </c>
      <c r="F20">
        <v>618.63439400000004</v>
      </c>
      <c r="G20">
        <v>1.83</v>
      </c>
      <c r="H20">
        <v>0.87577799999999995</v>
      </c>
      <c r="I20">
        <v>192</v>
      </c>
      <c r="J20">
        <v>13</v>
      </c>
      <c r="K20">
        <v>10.83</v>
      </c>
      <c r="L20">
        <v>67608297500</v>
      </c>
      <c r="M20">
        <v>10.77</v>
      </c>
      <c r="N20">
        <v>7.0000000000000007E-2</v>
      </c>
      <c r="O20">
        <v>58884365500</v>
      </c>
      <c r="P20">
        <v>0.36</v>
      </c>
      <c r="Q20">
        <v>0.05</v>
      </c>
      <c r="R20">
        <v>24338987100</v>
      </c>
      <c r="S20">
        <v>0.64</v>
      </c>
      <c r="T20">
        <v>43269310400</v>
      </c>
      <c r="U20">
        <v>10.636200000000001</v>
      </c>
      <c r="V20" t="s">
        <v>25</v>
      </c>
      <c r="AB20">
        <f t="shared" si="0"/>
        <v>478.8462217</v>
      </c>
      <c r="AC20">
        <f t="shared" si="1"/>
        <v>1292.9690840640001</v>
      </c>
    </row>
    <row r="21" spans="1:29">
      <c r="A21" t="s">
        <v>44</v>
      </c>
      <c r="B21">
        <v>0.24099999999999999</v>
      </c>
      <c r="C21">
        <v>0.47</v>
      </c>
      <c r="D21">
        <v>810.46209599999997</v>
      </c>
      <c r="E21">
        <v>1254.9396750000001</v>
      </c>
      <c r="F21">
        <v>570.73323900000003</v>
      </c>
      <c r="G21">
        <v>5.05</v>
      </c>
      <c r="H21">
        <v>1.285239</v>
      </c>
      <c r="I21">
        <v>334</v>
      </c>
      <c r="J21">
        <v>15</v>
      </c>
      <c r="K21">
        <v>11.57</v>
      </c>
      <c r="L21">
        <v>371535229000</v>
      </c>
      <c r="M21">
        <v>11.56</v>
      </c>
      <c r="N21">
        <v>0.09</v>
      </c>
      <c r="O21">
        <v>363078055000</v>
      </c>
      <c r="P21">
        <v>0.35</v>
      </c>
      <c r="Q21">
        <v>7.0000000000000007E-2</v>
      </c>
      <c r="R21">
        <v>130037330149.99899</v>
      </c>
      <c r="S21">
        <v>0.65</v>
      </c>
      <c r="T21">
        <v>241497898850</v>
      </c>
      <c r="U21">
        <v>11.382899999999999</v>
      </c>
      <c r="V21" t="s">
        <v>25</v>
      </c>
      <c r="AB21">
        <f t="shared" si="0"/>
        <v>1005.783461136</v>
      </c>
      <c r="AC21">
        <f t="shared" si="1"/>
        <v>1844.7613222500001</v>
      </c>
    </row>
    <row r="22" spans="1:29">
      <c r="A22" t="s">
        <v>45</v>
      </c>
      <c r="B22">
        <v>0.126</v>
      </c>
      <c r="C22">
        <v>0.53500000000000003</v>
      </c>
      <c r="D22">
        <v>480.93234899999999</v>
      </c>
      <c r="E22">
        <v>1343.8771469999999</v>
      </c>
      <c r="F22">
        <v>991.08898799999997</v>
      </c>
      <c r="G22">
        <v>2.2400000000000002</v>
      </c>
      <c r="H22">
        <v>0.96070299999999997</v>
      </c>
      <c r="I22">
        <v>197</v>
      </c>
      <c r="J22">
        <v>13</v>
      </c>
      <c r="K22">
        <v>10.88</v>
      </c>
      <c r="L22">
        <v>75857757500</v>
      </c>
      <c r="M22">
        <v>10.91</v>
      </c>
      <c r="N22">
        <v>7.0000000000000007E-2</v>
      </c>
      <c r="O22">
        <v>81283051600</v>
      </c>
      <c r="P22">
        <v>0.42</v>
      </c>
      <c r="Q22">
        <v>7.0000000000000007E-2</v>
      </c>
      <c r="R22">
        <v>31860258150</v>
      </c>
      <c r="S22">
        <v>0.57999999999999996</v>
      </c>
      <c r="T22">
        <v>43997499350</v>
      </c>
      <c r="U22">
        <v>10.6434</v>
      </c>
      <c r="V22" t="s">
        <v>25</v>
      </c>
      <c r="AB22">
        <f t="shared" si="0"/>
        <v>541.52982497399989</v>
      </c>
      <c r="AC22">
        <f t="shared" si="1"/>
        <v>2062.851420645</v>
      </c>
    </row>
    <row r="23" spans="1:29">
      <c r="A23" t="s">
        <v>46</v>
      </c>
      <c r="B23">
        <v>0.23699999999999999</v>
      </c>
      <c r="C23">
        <v>0.53100000000000003</v>
      </c>
      <c r="D23">
        <v>800.42178999999999</v>
      </c>
      <c r="E23">
        <v>1338.782862</v>
      </c>
      <c r="F23">
        <v>692.06714999999997</v>
      </c>
      <c r="G23">
        <v>3.61</v>
      </c>
      <c r="H23">
        <v>0.93027899999999997</v>
      </c>
      <c r="I23">
        <v>244</v>
      </c>
      <c r="J23">
        <v>19</v>
      </c>
      <c r="K23">
        <v>11.23</v>
      </c>
      <c r="L23">
        <v>169824365000</v>
      </c>
      <c r="M23">
        <v>11.47</v>
      </c>
      <c r="N23">
        <v>0.12</v>
      </c>
      <c r="O23">
        <v>295120923000</v>
      </c>
      <c r="P23">
        <v>0.55000000000000004</v>
      </c>
      <c r="Q23">
        <v>0.15</v>
      </c>
      <c r="R23">
        <v>93403400750</v>
      </c>
      <c r="S23">
        <v>0.45</v>
      </c>
      <c r="T23">
        <v>76420964250</v>
      </c>
      <c r="U23">
        <v>10.8832</v>
      </c>
      <c r="V23" t="s">
        <v>25</v>
      </c>
      <c r="AB23">
        <f t="shared" si="0"/>
        <v>990.12175423000008</v>
      </c>
      <c r="AC23">
        <f t="shared" si="1"/>
        <v>2049.6765617220003</v>
      </c>
    </row>
    <row r="24" spans="1:29">
      <c r="A24" t="s">
        <v>47</v>
      </c>
      <c r="B24">
        <v>0.16800000000000001</v>
      </c>
      <c r="C24">
        <v>0.439</v>
      </c>
      <c r="D24">
        <v>611.67629599999998</v>
      </c>
      <c r="E24">
        <v>1207.5776310000001</v>
      </c>
      <c r="F24">
        <v>711.09541100000001</v>
      </c>
      <c r="G24">
        <v>3.13</v>
      </c>
      <c r="H24">
        <v>1.0554749999999999</v>
      </c>
      <c r="I24">
        <v>247</v>
      </c>
      <c r="J24">
        <v>13</v>
      </c>
      <c r="K24">
        <v>11.17</v>
      </c>
      <c r="L24">
        <v>147910839000</v>
      </c>
      <c r="M24">
        <v>11.23</v>
      </c>
      <c r="N24">
        <v>0.12</v>
      </c>
      <c r="O24">
        <v>169824365000</v>
      </c>
      <c r="P24">
        <v>0.48</v>
      </c>
      <c r="Q24">
        <v>0.13</v>
      </c>
      <c r="R24">
        <v>70997202720</v>
      </c>
      <c r="S24">
        <v>0.52</v>
      </c>
      <c r="T24">
        <v>76913636280</v>
      </c>
      <c r="U24">
        <v>10.885999999999999</v>
      </c>
      <c r="V24" t="s">
        <v>25</v>
      </c>
      <c r="AB24">
        <f t="shared" si="0"/>
        <v>714.4379137279999</v>
      </c>
      <c r="AC24">
        <f t="shared" si="1"/>
        <v>1737.7042110090001</v>
      </c>
    </row>
    <row r="25" spans="1:29">
      <c r="A25" t="s">
        <v>48</v>
      </c>
      <c r="B25">
        <v>0.28199999999999997</v>
      </c>
      <c r="C25">
        <v>0.55300000000000005</v>
      </c>
      <c r="D25">
        <v>908.18873599999995</v>
      </c>
      <c r="E25">
        <v>1366.223084</v>
      </c>
      <c r="F25">
        <v>616.51415999999995</v>
      </c>
      <c r="G25">
        <v>5.12</v>
      </c>
      <c r="H25">
        <v>1.1628369999999999</v>
      </c>
      <c r="I25">
        <v>282</v>
      </c>
      <c r="J25">
        <v>18</v>
      </c>
      <c r="K25">
        <v>11.54</v>
      </c>
      <c r="L25">
        <v>346736850000</v>
      </c>
      <c r="M25">
        <v>11.54</v>
      </c>
      <c r="N25">
        <v>0.12</v>
      </c>
      <c r="O25">
        <v>346736850000</v>
      </c>
      <c r="P25">
        <v>0.45</v>
      </c>
      <c r="Q25">
        <v>0.13</v>
      </c>
      <c r="R25">
        <v>156031582500</v>
      </c>
      <c r="S25">
        <v>0.55000000000000004</v>
      </c>
      <c r="T25">
        <v>190705267500</v>
      </c>
      <c r="U25">
        <v>11.2804</v>
      </c>
      <c r="V25" t="s">
        <v>25</v>
      </c>
      <c r="AB25">
        <f t="shared" si="0"/>
        <v>1164.2979595520001</v>
      </c>
      <c r="AC25">
        <f t="shared" si="1"/>
        <v>2121.744449452</v>
      </c>
    </row>
    <row r="26" spans="1:29">
      <c r="A26" t="s">
        <v>49</v>
      </c>
      <c r="B26">
        <v>0.191</v>
      </c>
      <c r="C26">
        <v>0.69599999999999995</v>
      </c>
      <c r="D26">
        <v>677.99480100000005</v>
      </c>
      <c r="E26">
        <v>1513.799604</v>
      </c>
      <c r="F26">
        <v>1037.6841509999999</v>
      </c>
      <c r="G26">
        <v>4.5</v>
      </c>
      <c r="H26">
        <v>1.3690249999999999</v>
      </c>
      <c r="I26">
        <v>242</v>
      </c>
      <c r="J26">
        <v>15</v>
      </c>
      <c r="K26">
        <v>11.37</v>
      </c>
      <c r="L26">
        <v>234422882000</v>
      </c>
      <c r="M26">
        <v>11.33</v>
      </c>
      <c r="N26">
        <v>0.12</v>
      </c>
      <c r="O26">
        <v>213796209000</v>
      </c>
      <c r="P26">
        <v>0.38</v>
      </c>
      <c r="Q26">
        <v>0.11</v>
      </c>
      <c r="R26">
        <v>89080695160</v>
      </c>
      <c r="S26">
        <v>0.62</v>
      </c>
      <c r="T26">
        <v>145342186840</v>
      </c>
      <c r="U26">
        <v>11.1624</v>
      </c>
      <c r="V26" t="s">
        <v>25</v>
      </c>
      <c r="AB26">
        <f t="shared" si="0"/>
        <v>807.49180799100009</v>
      </c>
      <c r="AC26">
        <f t="shared" si="1"/>
        <v>2567.4041283840002</v>
      </c>
    </row>
    <row r="27" spans="1:29">
      <c r="A27" t="s">
        <v>50</v>
      </c>
      <c r="B27">
        <v>0.104</v>
      </c>
      <c r="C27">
        <v>0.61499999999999999</v>
      </c>
      <c r="D27">
        <v>407.08965000000001</v>
      </c>
      <c r="E27">
        <v>1436.3707879999999</v>
      </c>
      <c r="F27">
        <v>1158.0878319999999</v>
      </c>
      <c r="G27">
        <v>1.92</v>
      </c>
      <c r="H27">
        <v>0.97282900000000005</v>
      </c>
      <c r="I27">
        <v>210</v>
      </c>
      <c r="J27">
        <v>9</v>
      </c>
      <c r="K27">
        <v>10.78</v>
      </c>
      <c r="L27">
        <v>60255958600</v>
      </c>
      <c r="M27">
        <v>11.04</v>
      </c>
      <c r="N27">
        <v>0.12</v>
      </c>
      <c r="O27">
        <v>109647820000</v>
      </c>
      <c r="P27">
        <v>0.69</v>
      </c>
      <c r="Q27">
        <v>0.19</v>
      </c>
      <c r="R27">
        <v>41576611434</v>
      </c>
      <c r="S27">
        <v>0.31</v>
      </c>
      <c r="T27">
        <v>18679347166</v>
      </c>
      <c r="U27">
        <v>10.2714</v>
      </c>
      <c r="V27" t="s">
        <v>25</v>
      </c>
      <c r="AB27">
        <f t="shared" si="0"/>
        <v>449.42697360000005</v>
      </c>
      <c r="AC27">
        <f t="shared" si="1"/>
        <v>2319.7388226200001</v>
      </c>
    </row>
    <row r="28" spans="1:29">
      <c r="A28" t="s">
        <v>51</v>
      </c>
      <c r="B28">
        <v>0.13300000000000001</v>
      </c>
      <c r="C28">
        <v>0.32900000000000001</v>
      </c>
      <c r="D28">
        <v>503.63186300000001</v>
      </c>
      <c r="E28">
        <v>1009.408646</v>
      </c>
      <c r="F28">
        <v>580.05206099999998</v>
      </c>
      <c r="G28">
        <v>2.44</v>
      </c>
      <c r="H28">
        <v>0.99931400000000004</v>
      </c>
      <c r="I28">
        <v>296</v>
      </c>
      <c r="J28">
        <v>14</v>
      </c>
      <c r="K28">
        <v>11.05</v>
      </c>
      <c r="L28">
        <v>112201845000</v>
      </c>
      <c r="M28">
        <v>10.9</v>
      </c>
      <c r="N28">
        <v>0.11</v>
      </c>
      <c r="O28">
        <v>79432823500</v>
      </c>
      <c r="P28">
        <v>0.42</v>
      </c>
      <c r="Q28">
        <v>0.11</v>
      </c>
      <c r="R28">
        <v>47124774900</v>
      </c>
      <c r="S28">
        <v>0.57999999999999996</v>
      </c>
      <c r="T28">
        <v>65077070100</v>
      </c>
      <c r="U28">
        <v>10.8134</v>
      </c>
      <c r="V28" t="s">
        <v>25</v>
      </c>
      <c r="AB28">
        <f t="shared" si="0"/>
        <v>570.61490077899998</v>
      </c>
      <c r="AC28">
        <f t="shared" si="1"/>
        <v>1341.5040905339999</v>
      </c>
    </row>
    <row r="29" spans="1:29">
      <c r="A29" t="s">
        <v>52</v>
      </c>
      <c r="B29">
        <v>0.317</v>
      </c>
      <c r="C29">
        <v>0.85799999999999998</v>
      </c>
      <c r="D29">
        <v>984.59797400000002</v>
      </c>
      <c r="E29">
        <v>1629.521442</v>
      </c>
      <c r="F29">
        <v>931.61211300000002</v>
      </c>
      <c r="G29">
        <v>7.02</v>
      </c>
      <c r="H29">
        <v>1.4706300000000001</v>
      </c>
      <c r="I29">
        <v>187</v>
      </c>
      <c r="J29">
        <v>23</v>
      </c>
      <c r="K29">
        <v>11.67</v>
      </c>
      <c r="L29">
        <v>467735141000</v>
      </c>
      <c r="M29">
        <v>11.59</v>
      </c>
      <c r="N29">
        <v>7.0000000000000007E-2</v>
      </c>
      <c r="O29">
        <v>389045145000</v>
      </c>
      <c r="P29">
        <v>0.33</v>
      </c>
      <c r="Q29">
        <v>0.05</v>
      </c>
      <c r="R29">
        <v>154352596530</v>
      </c>
      <c r="S29">
        <v>0.67</v>
      </c>
      <c r="T29">
        <v>313382544469.99902</v>
      </c>
      <c r="U29">
        <v>11.4961</v>
      </c>
      <c r="V29" t="s">
        <v>25</v>
      </c>
      <c r="AB29">
        <f t="shared" si="0"/>
        <v>1296.715531758</v>
      </c>
      <c r="AC29">
        <f t="shared" si="1"/>
        <v>3027.6508392360001</v>
      </c>
    </row>
    <row r="30" spans="1:29">
      <c r="A30" t="s">
        <v>53</v>
      </c>
      <c r="B30">
        <v>0.158</v>
      </c>
      <c r="C30">
        <v>0.73499999999999999</v>
      </c>
      <c r="D30">
        <v>581.70862599999998</v>
      </c>
      <c r="E30">
        <v>1546.032586</v>
      </c>
      <c r="F30">
        <v>1157.7797969999999</v>
      </c>
      <c r="G30">
        <v>2.78</v>
      </c>
      <c r="H30">
        <v>0.98574499999999998</v>
      </c>
      <c r="I30">
        <v>196</v>
      </c>
      <c r="J30">
        <v>12</v>
      </c>
      <c r="K30">
        <v>10.98</v>
      </c>
      <c r="L30">
        <v>95499258600</v>
      </c>
      <c r="M30">
        <v>11.29</v>
      </c>
      <c r="N30">
        <v>0.08</v>
      </c>
      <c r="O30">
        <v>194984460000</v>
      </c>
      <c r="P30">
        <v>0.73</v>
      </c>
      <c r="Q30">
        <v>0.13</v>
      </c>
      <c r="R30">
        <v>69714458778</v>
      </c>
      <c r="S30">
        <v>0.27</v>
      </c>
      <c r="T30">
        <v>25784799822</v>
      </c>
      <c r="U30">
        <v>10.4114</v>
      </c>
      <c r="V30" t="s">
        <v>25</v>
      </c>
      <c r="AB30">
        <f t="shared" si="0"/>
        <v>673.61858890799988</v>
      </c>
      <c r="AC30">
        <f t="shared" si="1"/>
        <v>2682.3665367099998</v>
      </c>
    </row>
    <row r="31" spans="1:29">
      <c r="A31" t="s">
        <v>54</v>
      </c>
      <c r="B31">
        <v>9.5000000000000001E-2</v>
      </c>
      <c r="C31">
        <v>0.40699999999999997</v>
      </c>
      <c r="D31">
        <v>375.75029899999998</v>
      </c>
      <c r="E31">
        <v>1155.005332</v>
      </c>
      <c r="F31">
        <v>862.57706099999996</v>
      </c>
      <c r="G31">
        <v>2.17</v>
      </c>
      <c r="H31">
        <v>1.1912020000000001</v>
      </c>
      <c r="I31">
        <v>262</v>
      </c>
      <c r="J31">
        <v>9</v>
      </c>
      <c r="K31">
        <v>10.96</v>
      </c>
      <c r="L31">
        <v>91201083900</v>
      </c>
      <c r="M31">
        <v>11.13</v>
      </c>
      <c r="N31">
        <v>0.06</v>
      </c>
      <c r="O31">
        <v>134896288000</v>
      </c>
      <c r="P31">
        <v>0.54</v>
      </c>
      <c r="Q31">
        <v>7.0000000000000007E-2</v>
      </c>
      <c r="R31">
        <v>49248585306</v>
      </c>
      <c r="S31">
        <v>0.46</v>
      </c>
      <c r="T31">
        <v>41952498594</v>
      </c>
      <c r="U31">
        <v>10.6228</v>
      </c>
      <c r="V31" t="s">
        <v>25</v>
      </c>
      <c r="AB31">
        <f t="shared" si="0"/>
        <v>411.44657740499997</v>
      </c>
      <c r="AC31">
        <f t="shared" si="1"/>
        <v>1625.092502124</v>
      </c>
    </row>
    <row r="32" spans="1:29">
      <c r="A32" t="s">
        <v>55</v>
      </c>
      <c r="B32">
        <v>0.27300000000000002</v>
      </c>
      <c r="C32">
        <v>0.629</v>
      </c>
      <c r="D32">
        <v>887.52294300000005</v>
      </c>
      <c r="E32">
        <v>1450.8428220000001</v>
      </c>
      <c r="F32">
        <v>757.27823899999999</v>
      </c>
      <c r="G32">
        <v>6.19</v>
      </c>
      <c r="H32">
        <v>1.4385870000000001</v>
      </c>
      <c r="I32">
        <v>320</v>
      </c>
      <c r="J32">
        <v>20</v>
      </c>
      <c r="K32">
        <v>11.65</v>
      </c>
      <c r="L32">
        <v>446683592000</v>
      </c>
      <c r="M32">
        <v>11.48</v>
      </c>
      <c r="N32">
        <v>0.09</v>
      </c>
      <c r="O32">
        <v>301995172000</v>
      </c>
      <c r="P32">
        <v>0.33</v>
      </c>
      <c r="Q32">
        <v>7.0000000000000007E-2</v>
      </c>
      <c r="R32">
        <v>147405585360</v>
      </c>
      <c r="S32">
        <v>0.67</v>
      </c>
      <c r="T32">
        <v>299278006639.99902</v>
      </c>
      <c r="U32">
        <v>11.476100000000001</v>
      </c>
      <c r="V32" t="s">
        <v>25</v>
      </c>
      <c r="AB32">
        <f t="shared" si="0"/>
        <v>1129.8167064390002</v>
      </c>
      <c r="AC32">
        <f t="shared" si="1"/>
        <v>2363.4229570380003</v>
      </c>
    </row>
    <row r="33" spans="1:29">
      <c r="A33" t="s">
        <v>56</v>
      </c>
      <c r="B33">
        <v>0.153</v>
      </c>
      <c r="C33">
        <v>0.47399999999999998</v>
      </c>
      <c r="D33">
        <v>566.45876999999996</v>
      </c>
      <c r="E33">
        <v>1260.8077189999999</v>
      </c>
      <c r="F33">
        <v>817.70937300000003</v>
      </c>
      <c r="G33">
        <v>2.93</v>
      </c>
      <c r="H33">
        <v>1.066902</v>
      </c>
      <c r="I33">
        <v>239</v>
      </c>
      <c r="J33">
        <v>11</v>
      </c>
      <c r="K33">
        <v>11.1</v>
      </c>
      <c r="L33">
        <v>125892541000</v>
      </c>
      <c r="M33">
        <v>11.26</v>
      </c>
      <c r="N33">
        <v>0.12</v>
      </c>
      <c r="O33">
        <v>181970086000</v>
      </c>
      <c r="P33">
        <v>0.5</v>
      </c>
      <c r="Q33">
        <v>0.13</v>
      </c>
      <c r="R33">
        <v>62946270500</v>
      </c>
      <c r="S33">
        <v>0.5</v>
      </c>
      <c r="T33">
        <v>62946270500</v>
      </c>
      <c r="U33">
        <v>10.798999999999999</v>
      </c>
      <c r="V33" t="s">
        <v>25</v>
      </c>
      <c r="AB33">
        <f t="shared" si="0"/>
        <v>653.12696181000001</v>
      </c>
      <c r="AC33">
        <f t="shared" si="1"/>
        <v>1858.4305778059997</v>
      </c>
    </row>
    <row r="34" spans="1:29">
      <c r="A34" t="s">
        <v>57</v>
      </c>
      <c r="B34">
        <v>0.222</v>
      </c>
      <c r="C34">
        <v>0.504</v>
      </c>
      <c r="D34">
        <v>761.92974100000004</v>
      </c>
      <c r="E34">
        <v>1303.1295480000001</v>
      </c>
      <c r="F34">
        <v>684.06163300000003</v>
      </c>
      <c r="G34">
        <v>3.52</v>
      </c>
      <c r="H34">
        <v>0.95291199999999998</v>
      </c>
      <c r="I34">
        <v>221</v>
      </c>
      <c r="J34">
        <v>22</v>
      </c>
      <c r="K34">
        <v>11.22</v>
      </c>
      <c r="L34">
        <v>165958691000</v>
      </c>
      <c r="M34">
        <v>11.3</v>
      </c>
      <c r="N34">
        <v>0.08</v>
      </c>
      <c r="O34">
        <v>199526231000</v>
      </c>
      <c r="P34">
        <v>0.39</v>
      </c>
      <c r="Q34">
        <v>7.0000000000000007E-2</v>
      </c>
      <c r="R34">
        <v>64723889490</v>
      </c>
      <c r="S34">
        <v>0.61</v>
      </c>
      <c r="T34">
        <v>101234801510</v>
      </c>
      <c r="U34">
        <v>11.0053</v>
      </c>
      <c r="V34" t="s">
        <v>25</v>
      </c>
      <c r="AB34">
        <f t="shared" si="0"/>
        <v>931.07814350199999</v>
      </c>
      <c r="AC34">
        <f t="shared" si="1"/>
        <v>1959.9068401920001</v>
      </c>
    </row>
    <row r="35" spans="1:29">
      <c r="A35" t="s">
        <v>58</v>
      </c>
      <c r="B35">
        <v>0.106</v>
      </c>
      <c r="C35">
        <v>0.40200000000000002</v>
      </c>
      <c r="D35">
        <v>413.96319399999999</v>
      </c>
      <c r="E35">
        <v>1146.4353739999999</v>
      </c>
      <c r="F35">
        <v>819.87097100000005</v>
      </c>
      <c r="G35">
        <v>3.27</v>
      </c>
      <c r="H35">
        <v>1.629338</v>
      </c>
      <c r="I35">
        <v>269</v>
      </c>
      <c r="J35">
        <v>5</v>
      </c>
      <c r="K35">
        <v>11.29</v>
      </c>
      <c r="L35">
        <v>194984460000</v>
      </c>
      <c r="M35">
        <v>11.36</v>
      </c>
      <c r="N35">
        <v>0.09</v>
      </c>
      <c r="O35">
        <v>229086765000</v>
      </c>
      <c r="P35">
        <v>0.26</v>
      </c>
      <c r="Q35">
        <v>0.05</v>
      </c>
      <c r="R35">
        <v>50695959600</v>
      </c>
      <c r="S35">
        <v>0.74</v>
      </c>
      <c r="T35">
        <v>144288500400</v>
      </c>
      <c r="U35">
        <v>11.1592</v>
      </c>
      <c r="V35" t="s">
        <v>25</v>
      </c>
      <c r="AB35">
        <f t="shared" si="0"/>
        <v>457.84329256400002</v>
      </c>
      <c r="AC35">
        <f t="shared" si="1"/>
        <v>1607.302394348</v>
      </c>
    </row>
    <row r="36" spans="1:29">
      <c r="A36" t="s">
        <v>59</v>
      </c>
      <c r="B36">
        <v>0.18</v>
      </c>
      <c r="C36">
        <v>0.875</v>
      </c>
      <c r="D36">
        <v>646.72229300000004</v>
      </c>
      <c r="E36">
        <v>1639.1424179999999</v>
      </c>
      <c r="F36">
        <v>1232.138522</v>
      </c>
      <c r="G36">
        <v>3.18</v>
      </c>
      <c r="H36">
        <v>1.0142249999999999</v>
      </c>
      <c r="I36">
        <v>226</v>
      </c>
      <c r="J36">
        <v>15</v>
      </c>
      <c r="K36">
        <v>11.05</v>
      </c>
      <c r="L36">
        <v>112201845000</v>
      </c>
      <c r="M36">
        <v>11.08</v>
      </c>
      <c r="N36">
        <v>0.13</v>
      </c>
      <c r="O36">
        <v>120226443000</v>
      </c>
      <c r="P36">
        <v>0.47</v>
      </c>
      <c r="Q36">
        <v>0.13</v>
      </c>
      <c r="R36">
        <v>52734867150</v>
      </c>
      <c r="S36">
        <v>0.53</v>
      </c>
      <c r="T36">
        <v>59466977850</v>
      </c>
      <c r="U36">
        <v>10.7743</v>
      </c>
      <c r="V36" t="s">
        <v>25</v>
      </c>
      <c r="AB36">
        <f t="shared" si="0"/>
        <v>763.13230573999999</v>
      </c>
      <c r="AC36">
        <f t="shared" si="1"/>
        <v>3073.3920337499999</v>
      </c>
    </row>
    <row r="37" spans="1:29">
      <c r="A37" t="s">
        <v>60</v>
      </c>
      <c r="B37">
        <v>0.16400000000000001</v>
      </c>
      <c r="C37">
        <v>0.63100000000000001</v>
      </c>
      <c r="D37">
        <v>599.77355999999997</v>
      </c>
      <c r="E37">
        <v>1452.871371</v>
      </c>
      <c r="F37">
        <v>1024.8294189999999</v>
      </c>
      <c r="G37">
        <v>3.68</v>
      </c>
      <c r="H37">
        <v>1.265568</v>
      </c>
      <c r="I37">
        <v>267</v>
      </c>
      <c r="J37">
        <v>17</v>
      </c>
      <c r="K37">
        <v>11.24</v>
      </c>
      <c r="L37">
        <v>173780083000</v>
      </c>
      <c r="M37">
        <v>11.2</v>
      </c>
      <c r="N37">
        <v>7.0000000000000007E-2</v>
      </c>
      <c r="O37">
        <v>158489319000</v>
      </c>
      <c r="P37">
        <v>0.4</v>
      </c>
      <c r="Q37">
        <v>0.06</v>
      </c>
      <c r="R37">
        <v>69512033200</v>
      </c>
      <c r="S37">
        <v>0.6</v>
      </c>
      <c r="T37">
        <v>104268049800</v>
      </c>
      <c r="U37">
        <v>11.0182</v>
      </c>
      <c r="V37" t="s">
        <v>25</v>
      </c>
      <c r="AB37">
        <f t="shared" si="0"/>
        <v>698.13642383999991</v>
      </c>
      <c r="AC37">
        <f t="shared" si="1"/>
        <v>2369.6332061009998</v>
      </c>
    </row>
    <row r="38" spans="1:29">
      <c r="A38" t="s">
        <v>61</v>
      </c>
      <c r="B38">
        <v>0.215</v>
      </c>
      <c r="C38">
        <v>0.48099999999999998</v>
      </c>
      <c r="D38">
        <v>743.50262999999995</v>
      </c>
      <c r="E38">
        <v>1270.9471639999999</v>
      </c>
      <c r="F38">
        <v>660.98383200000001</v>
      </c>
      <c r="G38">
        <v>4.2699999999999996</v>
      </c>
      <c r="H38">
        <v>1.1845969999999999</v>
      </c>
      <c r="I38">
        <v>281</v>
      </c>
      <c r="J38">
        <v>13</v>
      </c>
      <c r="K38">
        <v>11.4</v>
      </c>
      <c r="L38">
        <v>251188643000</v>
      </c>
      <c r="M38">
        <v>11.48</v>
      </c>
      <c r="N38">
        <v>0.06</v>
      </c>
      <c r="O38">
        <v>301995172000</v>
      </c>
      <c r="P38">
        <v>0.36</v>
      </c>
      <c r="Q38">
        <v>0.05</v>
      </c>
      <c r="R38">
        <v>90427911480</v>
      </c>
      <c r="S38">
        <v>0.64</v>
      </c>
      <c r="T38">
        <v>160760731520</v>
      </c>
      <c r="U38">
        <v>11.206200000000001</v>
      </c>
      <c r="V38" t="s">
        <v>25</v>
      </c>
      <c r="AB38">
        <f t="shared" si="0"/>
        <v>903.35569544999998</v>
      </c>
      <c r="AC38">
        <f t="shared" si="1"/>
        <v>1882.2727498839997</v>
      </c>
    </row>
    <row r="39" spans="1:29">
      <c r="A39" t="s">
        <v>62</v>
      </c>
      <c r="B39">
        <v>0.123</v>
      </c>
      <c r="C39">
        <v>0.64</v>
      </c>
      <c r="D39">
        <v>471.08831600000002</v>
      </c>
      <c r="E39">
        <v>1461.8816609999999</v>
      </c>
      <c r="F39">
        <v>1139.301064</v>
      </c>
      <c r="G39">
        <v>3.13</v>
      </c>
      <c r="H39">
        <v>1.3704620000000001</v>
      </c>
      <c r="I39">
        <v>292</v>
      </c>
      <c r="J39">
        <v>11</v>
      </c>
      <c r="K39">
        <v>11.16</v>
      </c>
      <c r="L39">
        <v>144543977000</v>
      </c>
      <c r="M39">
        <v>11.24</v>
      </c>
      <c r="N39">
        <v>0.1</v>
      </c>
      <c r="O39">
        <v>173780083000</v>
      </c>
      <c r="P39">
        <v>0.38</v>
      </c>
      <c r="Q39">
        <v>0.08</v>
      </c>
      <c r="R39">
        <v>54926711260</v>
      </c>
      <c r="S39">
        <v>0.62</v>
      </c>
      <c r="T39">
        <v>89617265740</v>
      </c>
      <c r="U39">
        <v>10.952400000000001</v>
      </c>
      <c r="V39" t="s">
        <v>25</v>
      </c>
      <c r="AB39">
        <f t="shared" si="0"/>
        <v>529.03217886800007</v>
      </c>
      <c r="AC39">
        <f t="shared" si="1"/>
        <v>2397.4859240400001</v>
      </c>
    </row>
    <row r="40" spans="1:29">
      <c r="A40" t="s">
        <v>63</v>
      </c>
      <c r="B40">
        <v>0.13500000000000001</v>
      </c>
      <c r="C40">
        <v>0.71699999999999997</v>
      </c>
      <c r="D40">
        <v>510.04875700000002</v>
      </c>
      <c r="E40">
        <v>1531.5349209999999</v>
      </c>
      <c r="F40">
        <v>1194.3739780000001</v>
      </c>
      <c r="G40">
        <v>3.47</v>
      </c>
      <c r="H40">
        <v>1.4032750000000001</v>
      </c>
      <c r="I40">
        <v>219</v>
      </c>
      <c r="J40">
        <v>10</v>
      </c>
      <c r="K40">
        <v>11.21</v>
      </c>
      <c r="L40">
        <v>162181010000</v>
      </c>
      <c r="M40">
        <v>11.35</v>
      </c>
      <c r="N40">
        <v>0.08</v>
      </c>
      <c r="O40">
        <v>223872114000</v>
      </c>
      <c r="P40">
        <v>0.41</v>
      </c>
      <c r="Q40">
        <v>0.08</v>
      </c>
      <c r="R40">
        <v>66494214099.999901</v>
      </c>
      <c r="S40">
        <v>0.59</v>
      </c>
      <c r="T40">
        <v>95686795900</v>
      </c>
      <c r="U40">
        <v>10.9809</v>
      </c>
      <c r="V40" t="s">
        <v>25</v>
      </c>
      <c r="AB40">
        <f t="shared" si="0"/>
        <v>578.90533919500001</v>
      </c>
      <c r="AC40">
        <f t="shared" si="1"/>
        <v>2629.6454593570002</v>
      </c>
    </row>
    <row r="41" spans="1:29">
      <c r="A41" t="s">
        <v>64</v>
      </c>
      <c r="B41">
        <v>0.23200000000000001</v>
      </c>
      <c r="C41">
        <v>0.79500000000000004</v>
      </c>
      <c r="D41">
        <v>787.73971800000004</v>
      </c>
      <c r="E41">
        <v>1589.9742879999999</v>
      </c>
      <c r="F41">
        <v>1049.3083650000001</v>
      </c>
      <c r="G41">
        <v>4.18</v>
      </c>
      <c r="H41">
        <v>1.0945069999999999</v>
      </c>
      <c r="I41">
        <v>252</v>
      </c>
      <c r="J41">
        <v>14</v>
      </c>
      <c r="K41">
        <v>11.26</v>
      </c>
      <c r="L41">
        <v>181970086000</v>
      </c>
      <c r="M41">
        <v>11.53</v>
      </c>
      <c r="N41">
        <v>7.0000000000000007E-2</v>
      </c>
      <c r="O41">
        <v>338844156000</v>
      </c>
      <c r="P41">
        <v>0.68</v>
      </c>
      <c r="Q41">
        <v>0.11</v>
      </c>
      <c r="R41">
        <v>123739658480</v>
      </c>
      <c r="S41">
        <v>0.32</v>
      </c>
      <c r="T41">
        <v>58230427519.999901</v>
      </c>
      <c r="U41">
        <v>10.7651</v>
      </c>
      <c r="V41" t="s">
        <v>25</v>
      </c>
      <c r="AB41">
        <f t="shared" si="0"/>
        <v>970.49533257600001</v>
      </c>
      <c r="AC41">
        <f t="shared" si="1"/>
        <v>2854.0038469599995</v>
      </c>
    </row>
    <row r="42" spans="1:29">
      <c r="A42" t="s">
        <v>65</v>
      </c>
      <c r="B42">
        <v>0.224</v>
      </c>
      <c r="C42">
        <v>0.78400000000000003</v>
      </c>
      <c r="D42">
        <v>767.13979900000004</v>
      </c>
      <c r="E42">
        <v>1582.4002410000001</v>
      </c>
      <c r="F42">
        <v>1056.0666570000001</v>
      </c>
      <c r="G42">
        <v>3.03</v>
      </c>
      <c r="H42">
        <v>0.81469199999999997</v>
      </c>
      <c r="I42">
        <v>233</v>
      </c>
      <c r="J42">
        <v>23</v>
      </c>
      <c r="K42">
        <v>10.98</v>
      </c>
      <c r="L42">
        <v>95499258600</v>
      </c>
      <c r="M42">
        <v>11.26</v>
      </c>
      <c r="N42">
        <v>0.08</v>
      </c>
      <c r="O42">
        <v>181970086000</v>
      </c>
      <c r="P42">
        <v>0.34</v>
      </c>
      <c r="Q42">
        <v>7.0000000000000007E-2</v>
      </c>
      <c r="R42">
        <v>32469747924</v>
      </c>
      <c r="S42">
        <v>0.66</v>
      </c>
      <c r="T42">
        <v>63029510675.999901</v>
      </c>
      <c r="U42">
        <v>10.7995</v>
      </c>
      <c r="V42" t="s">
        <v>25</v>
      </c>
      <c r="AB42">
        <f t="shared" si="0"/>
        <v>938.97911397600001</v>
      </c>
      <c r="AC42">
        <f t="shared" si="1"/>
        <v>2823.0020299440002</v>
      </c>
    </row>
    <row r="43" spans="1:29">
      <c r="A43" t="s">
        <v>66</v>
      </c>
      <c r="B43">
        <v>0.17299999999999999</v>
      </c>
      <c r="C43">
        <v>0.47199999999999998</v>
      </c>
      <c r="D43">
        <v>626.39859300000001</v>
      </c>
      <c r="E43">
        <v>1257.880476</v>
      </c>
      <c r="F43">
        <v>758.71909700000003</v>
      </c>
      <c r="G43">
        <v>3.87</v>
      </c>
      <c r="H43">
        <v>1.27434</v>
      </c>
      <c r="I43">
        <v>237</v>
      </c>
      <c r="J43">
        <v>17</v>
      </c>
      <c r="K43">
        <v>11.33</v>
      </c>
      <c r="L43">
        <v>213796209000</v>
      </c>
      <c r="M43">
        <v>11.19</v>
      </c>
      <c r="N43">
        <v>0.08</v>
      </c>
      <c r="O43">
        <v>154881662000</v>
      </c>
      <c r="P43">
        <v>0.27</v>
      </c>
      <c r="Q43">
        <v>0.05</v>
      </c>
      <c r="R43">
        <v>57724976430</v>
      </c>
      <c r="S43">
        <v>0.73</v>
      </c>
      <c r="T43">
        <v>156071232570</v>
      </c>
      <c r="U43">
        <v>11.193300000000001</v>
      </c>
      <c r="V43" t="s">
        <v>25</v>
      </c>
      <c r="AB43">
        <f t="shared" si="0"/>
        <v>734.76554958899999</v>
      </c>
      <c r="AC43">
        <f t="shared" si="1"/>
        <v>1851.6000606719999</v>
      </c>
    </row>
    <row r="44" spans="1:29">
      <c r="A44" t="s">
        <v>67</v>
      </c>
      <c r="B44">
        <v>0.185</v>
      </c>
      <c r="C44">
        <v>0.51400000000000001</v>
      </c>
      <c r="D44">
        <v>661.03677400000004</v>
      </c>
      <c r="E44">
        <v>1316.5957559999999</v>
      </c>
      <c r="F44">
        <v>799.20567800000003</v>
      </c>
      <c r="G44">
        <v>4.25</v>
      </c>
      <c r="H44">
        <v>1.3261369999999999</v>
      </c>
      <c r="I44">
        <v>263</v>
      </c>
      <c r="J44">
        <v>18</v>
      </c>
      <c r="K44">
        <v>11.38</v>
      </c>
      <c r="L44">
        <v>239883292000</v>
      </c>
      <c r="M44">
        <v>11.33</v>
      </c>
      <c r="N44">
        <v>0.09</v>
      </c>
      <c r="O44">
        <v>213796209000</v>
      </c>
      <c r="P44">
        <v>0.34</v>
      </c>
      <c r="Q44">
        <v>7.0000000000000007E-2</v>
      </c>
      <c r="R44">
        <v>81560319280</v>
      </c>
      <c r="S44">
        <v>0.66</v>
      </c>
      <c r="T44">
        <v>158322972719.99899</v>
      </c>
      <c r="U44">
        <v>11.1995</v>
      </c>
      <c r="V44" t="s">
        <v>25</v>
      </c>
      <c r="AB44">
        <f t="shared" si="0"/>
        <v>783.32857719000003</v>
      </c>
      <c r="AC44">
        <f t="shared" si="1"/>
        <v>1993.3259745839998</v>
      </c>
    </row>
    <row r="45" spans="1:29">
      <c r="A45" t="s">
        <v>68</v>
      </c>
      <c r="B45">
        <v>0.24</v>
      </c>
      <c r="C45">
        <v>1.3</v>
      </c>
      <c r="D45">
        <v>807.96074199999998</v>
      </c>
      <c r="E45">
        <v>1774.1918410000001</v>
      </c>
      <c r="F45">
        <v>1338.595615</v>
      </c>
      <c r="G45">
        <v>6.01</v>
      </c>
      <c r="H45">
        <v>1.534297</v>
      </c>
      <c r="I45">
        <v>213</v>
      </c>
      <c r="J45">
        <v>18</v>
      </c>
      <c r="K45">
        <v>11.5</v>
      </c>
      <c r="L45">
        <v>316227766000</v>
      </c>
      <c r="M45">
        <v>11.43</v>
      </c>
      <c r="N45">
        <v>0.09</v>
      </c>
      <c r="O45">
        <v>269153480000</v>
      </c>
      <c r="P45">
        <v>0.24</v>
      </c>
      <c r="Q45">
        <v>0.05</v>
      </c>
      <c r="R45">
        <v>75894663840</v>
      </c>
      <c r="S45">
        <v>0.76</v>
      </c>
      <c r="T45">
        <v>240333102160</v>
      </c>
      <c r="U45">
        <v>11.380800000000001</v>
      </c>
      <c r="V45" t="s">
        <v>25</v>
      </c>
      <c r="AB45">
        <f t="shared" si="0"/>
        <v>1001.8713200799999</v>
      </c>
      <c r="AC45">
        <f t="shared" si="1"/>
        <v>4080.6412342999997</v>
      </c>
    </row>
    <row r="46" spans="1:29">
      <c r="A46" t="s">
        <v>69</v>
      </c>
      <c r="B46">
        <v>8.1000000000000003E-2</v>
      </c>
      <c r="C46">
        <v>0.71099999999999997</v>
      </c>
      <c r="D46">
        <v>325.64192200000002</v>
      </c>
      <c r="E46">
        <v>1526.5594630000001</v>
      </c>
      <c r="F46">
        <v>1320.8207620000001</v>
      </c>
      <c r="G46">
        <v>1.32</v>
      </c>
      <c r="H46">
        <v>0.83610099999999998</v>
      </c>
      <c r="I46">
        <v>185</v>
      </c>
      <c r="J46">
        <v>9</v>
      </c>
      <c r="K46">
        <v>10.52</v>
      </c>
      <c r="L46">
        <v>33113112100</v>
      </c>
      <c r="M46">
        <v>10.43</v>
      </c>
      <c r="N46">
        <v>0.06</v>
      </c>
      <c r="O46">
        <v>26915348000</v>
      </c>
      <c r="P46">
        <v>0.39</v>
      </c>
      <c r="Q46">
        <v>0.06</v>
      </c>
      <c r="R46">
        <v>12914113719</v>
      </c>
      <c r="S46">
        <v>0.61</v>
      </c>
      <c r="T46">
        <v>20198998381</v>
      </c>
      <c r="U46">
        <v>10.305300000000001</v>
      </c>
      <c r="V46" t="s">
        <v>25</v>
      </c>
      <c r="AB46">
        <f t="shared" si="0"/>
        <v>352.01891768199999</v>
      </c>
      <c r="AC46">
        <f t="shared" si="1"/>
        <v>2611.9432411929997</v>
      </c>
    </row>
    <row r="47" spans="1:29">
      <c r="A47" t="s">
        <v>70</v>
      </c>
      <c r="B47">
        <v>0.20499999999999999</v>
      </c>
      <c r="C47">
        <v>0.48099999999999998</v>
      </c>
      <c r="D47">
        <v>716.65216599999997</v>
      </c>
      <c r="E47">
        <v>1270.9471639999999</v>
      </c>
      <c r="F47">
        <v>687.85070299999995</v>
      </c>
      <c r="G47">
        <v>4.53</v>
      </c>
      <c r="H47">
        <v>1.303812</v>
      </c>
      <c r="I47">
        <v>267</v>
      </c>
      <c r="J47">
        <v>17</v>
      </c>
      <c r="K47">
        <v>11.46</v>
      </c>
      <c r="L47">
        <v>288403150000</v>
      </c>
      <c r="M47">
        <v>11.55</v>
      </c>
      <c r="N47">
        <v>7.0000000000000007E-2</v>
      </c>
      <c r="O47">
        <v>354813389000</v>
      </c>
      <c r="P47">
        <v>0.4</v>
      </c>
      <c r="Q47">
        <v>0.06</v>
      </c>
      <c r="R47">
        <v>115361260000</v>
      </c>
      <c r="S47">
        <v>0.6</v>
      </c>
      <c r="T47">
        <v>173041890000</v>
      </c>
      <c r="U47">
        <v>11.238200000000001</v>
      </c>
      <c r="V47" t="s">
        <v>25</v>
      </c>
      <c r="AB47">
        <f t="shared" si="0"/>
        <v>863.56586002999995</v>
      </c>
      <c r="AC47">
        <f t="shared" si="1"/>
        <v>1882.2727498839997</v>
      </c>
    </row>
    <row r="48" spans="1:29">
      <c r="A48" t="s">
        <v>71</v>
      </c>
      <c r="B48">
        <v>0.189</v>
      </c>
      <c r="C48">
        <v>0.47299999999999998</v>
      </c>
      <c r="D48">
        <v>672.36851300000001</v>
      </c>
      <c r="E48">
        <v>1259.345789</v>
      </c>
      <c r="F48">
        <v>716.612481</v>
      </c>
      <c r="G48">
        <v>2.62</v>
      </c>
      <c r="H48">
        <v>0.80374599999999996</v>
      </c>
      <c r="I48">
        <v>213</v>
      </c>
      <c r="J48">
        <v>17</v>
      </c>
      <c r="K48">
        <v>10.98</v>
      </c>
      <c r="L48">
        <v>95499258600</v>
      </c>
      <c r="M48">
        <v>11.2</v>
      </c>
      <c r="N48">
        <v>0.08</v>
      </c>
      <c r="O48">
        <v>158489319000</v>
      </c>
      <c r="P48">
        <v>0.54</v>
      </c>
      <c r="Q48">
        <v>0.1</v>
      </c>
      <c r="R48">
        <v>51569599644</v>
      </c>
      <c r="S48">
        <v>0.46</v>
      </c>
      <c r="T48">
        <v>43929658956</v>
      </c>
      <c r="U48">
        <v>10.642799999999999</v>
      </c>
      <c r="V48" t="s">
        <v>25</v>
      </c>
      <c r="AB48">
        <f t="shared" si="0"/>
        <v>799.44616195700007</v>
      </c>
      <c r="AC48">
        <f t="shared" si="1"/>
        <v>1855.0163471969997</v>
      </c>
    </row>
    <row r="49" spans="1:29">
      <c r="A49" t="s">
        <v>72</v>
      </c>
      <c r="B49">
        <v>0.29899999999999999</v>
      </c>
      <c r="C49">
        <v>0.81100000000000005</v>
      </c>
      <c r="D49">
        <v>946.07208000000003</v>
      </c>
      <c r="E49">
        <v>1600.6246160000001</v>
      </c>
      <c r="F49">
        <v>922.02294199999994</v>
      </c>
      <c r="G49">
        <v>6.08</v>
      </c>
      <c r="H49">
        <v>1.3255760000000001</v>
      </c>
      <c r="I49">
        <v>240</v>
      </c>
      <c r="J49">
        <v>25</v>
      </c>
      <c r="K49">
        <v>11.56</v>
      </c>
      <c r="L49">
        <v>363078055000</v>
      </c>
      <c r="M49">
        <v>11.4</v>
      </c>
      <c r="N49">
        <v>0.08</v>
      </c>
      <c r="O49">
        <v>251188643000</v>
      </c>
      <c r="P49">
        <v>0.35</v>
      </c>
      <c r="Q49">
        <v>0.06</v>
      </c>
      <c r="R49">
        <v>127077319249.99899</v>
      </c>
      <c r="S49">
        <v>0.65</v>
      </c>
      <c r="T49">
        <v>236000735750</v>
      </c>
      <c r="U49">
        <v>11.3729</v>
      </c>
      <c r="V49" t="s">
        <v>25</v>
      </c>
      <c r="AB49">
        <f t="shared" si="0"/>
        <v>1228.94763192</v>
      </c>
      <c r="AC49">
        <f t="shared" si="1"/>
        <v>2898.7311795760002</v>
      </c>
    </row>
    <row r="50" spans="1:29">
      <c r="A50" t="s">
        <v>73</v>
      </c>
      <c r="B50">
        <v>6.3E-2</v>
      </c>
      <c r="C50">
        <v>0.53500000000000003</v>
      </c>
      <c r="D50">
        <v>258.69602099999997</v>
      </c>
      <c r="E50">
        <v>1343.8771469999999</v>
      </c>
      <c r="F50">
        <v>1164.7280459999999</v>
      </c>
      <c r="G50">
        <v>1.26</v>
      </c>
      <c r="H50">
        <v>1.0046299999999999</v>
      </c>
      <c r="I50">
        <v>205</v>
      </c>
      <c r="J50">
        <v>4</v>
      </c>
      <c r="K50">
        <v>10.59</v>
      </c>
      <c r="L50">
        <v>38904514500</v>
      </c>
      <c r="M50">
        <v>10.93</v>
      </c>
      <c r="N50">
        <v>0.06</v>
      </c>
      <c r="O50">
        <v>85113803800</v>
      </c>
      <c r="P50">
        <v>0.69</v>
      </c>
      <c r="Q50">
        <v>0.1</v>
      </c>
      <c r="R50">
        <v>26844115004.999901</v>
      </c>
      <c r="S50">
        <v>0.31</v>
      </c>
      <c r="T50">
        <v>12060399495</v>
      </c>
      <c r="U50">
        <v>10.0814</v>
      </c>
      <c r="V50" t="s">
        <v>25</v>
      </c>
      <c r="AB50">
        <f t="shared" si="0"/>
        <v>274.99387032299995</v>
      </c>
      <c r="AC50">
        <f t="shared" si="1"/>
        <v>2062.851420645</v>
      </c>
    </row>
    <row r="51" spans="1:29">
      <c r="A51" t="s">
        <v>74</v>
      </c>
      <c r="B51">
        <v>0.28499999999999998</v>
      </c>
      <c r="C51">
        <v>0.57499999999999996</v>
      </c>
      <c r="D51">
        <v>914.98245699999995</v>
      </c>
      <c r="E51">
        <v>1392.2897579999999</v>
      </c>
      <c r="F51">
        <v>645.780261</v>
      </c>
      <c r="G51">
        <v>6.53</v>
      </c>
      <c r="H51">
        <v>1.4720599999999999</v>
      </c>
      <c r="I51">
        <v>322</v>
      </c>
      <c r="J51">
        <v>32</v>
      </c>
      <c r="K51">
        <v>11.73</v>
      </c>
      <c r="L51">
        <v>537031796000</v>
      </c>
      <c r="M51">
        <v>11.68</v>
      </c>
      <c r="N51">
        <v>0.12</v>
      </c>
      <c r="O51">
        <v>478630092000</v>
      </c>
      <c r="P51">
        <v>0.33</v>
      </c>
      <c r="Q51">
        <v>0.09</v>
      </c>
      <c r="R51">
        <v>177220492680</v>
      </c>
      <c r="S51">
        <v>0.67</v>
      </c>
      <c r="T51">
        <v>359811303319.99902</v>
      </c>
      <c r="U51">
        <v>11.556100000000001</v>
      </c>
      <c r="V51" t="s">
        <v>25</v>
      </c>
      <c r="AB51">
        <f t="shared" si="0"/>
        <v>1175.752457245</v>
      </c>
      <c r="AC51">
        <f t="shared" si="1"/>
        <v>2192.8563688499999</v>
      </c>
    </row>
    <row r="52" spans="1:29">
      <c r="A52" t="s">
        <v>75</v>
      </c>
      <c r="B52">
        <v>0.123</v>
      </c>
      <c r="C52">
        <v>0.66400000000000003</v>
      </c>
      <c r="D52">
        <v>471.08831600000002</v>
      </c>
      <c r="E52">
        <v>1484.986711</v>
      </c>
      <c r="F52">
        <v>1167.0587190000001</v>
      </c>
      <c r="G52">
        <v>2.78</v>
      </c>
      <c r="H52">
        <v>1.2172160000000001</v>
      </c>
      <c r="I52">
        <v>199</v>
      </c>
      <c r="J52">
        <v>8</v>
      </c>
      <c r="K52">
        <v>11.05</v>
      </c>
      <c r="L52">
        <v>112201845000</v>
      </c>
      <c r="M52">
        <v>11.46</v>
      </c>
      <c r="N52">
        <v>0.08</v>
      </c>
      <c r="O52">
        <v>288403150000</v>
      </c>
      <c r="P52">
        <v>0.39</v>
      </c>
      <c r="Q52">
        <v>7.0000000000000007E-2</v>
      </c>
      <c r="R52">
        <v>43758719550</v>
      </c>
      <c r="S52">
        <v>0.61</v>
      </c>
      <c r="T52">
        <v>68443125450</v>
      </c>
      <c r="U52">
        <v>10.8353</v>
      </c>
      <c r="V52" t="s">
        <v>25</v>
      </c>
      <c r="AB52">
        <f t="shared" si="0"/>
        <v>529.03217886800007</v>
      </c>
      <c r="AC52">
        <f t="shared" si="1"/>
        <v>2471.0178871040002</v>
      </c>
    </row>
    <row r="53" spans="1:29">
      <c r="A53" t="s">
        <v>76</v>
      </c>
      <c r="B53">
        <v>0.28499999999999998</v>
      </c>
      <c r="C53">
        <v>0.80500000000000005</v>
      </c>
      <c r="D53">
        <v>914.98245699999995</v>
      </c>
      <c r="E53">
        <v>1596.6809109999999</v>
      </c>
      <c r="F53">
        <v>945.29450799999995</v>
      </c>
      <c r="G53">
        <v>4.8</v>
      </c>
      <c r="H53">
        <v>1.082066</v>
      </c>
      <c r="I53">
        <v>224</v>
      </c>
      <c r="J53">
        <v>17</v>
      </c>
      <c r="K53">
        <v>11.36</v>
      </c>
      <c r="L53">
        <v>229086765000</v>
      </c>
      <c r="M53">
        <v>11.45</v>
      </c>
      <c r="N53">
        <v>0.08</v>
      </c>
      <c r="O53">
        <v>281838293000</v>
      </c>
      <c r="P53">
        <v>0.37</v>
      </c>
      <c r="Q53">
        <v>7.0000000000000007E-2</v>
      </c>
      <c r="R53">
        <v>84762103050</v>
      </c>
      <c r="S53">
        <v>0.63</v>
      </c>
      <c r="T53">
        <v>144324661950</v>
      </c>
      <c r="U53">
        <v>11.1593</v>
      </c>
      <c r="V53" t="s">
        <v>25</v>
      </c>
      <c r="AB53">
        <f t="shared" si="0"/>
        <v>1175.752457245</v>
      </c>
      <c r="AC53">
        <f t="shared" si="1"/>
        <v>2882.0090443550002</v>
      </c>
    </row>
    <row r="54" spans="1:29">
      <c r="A54" t="s">
        <v>77</v>
      </c>
      <c r="B54">
        <v>0.13400000000000001</v>
      </c>
      <c r="C54">
        <v>0.41899999999999998</v>
      </c>
      <c r="D54">
        <v>506.84409900000003</v>
      </c>
      <c r="E54">
        <v>1175.1752779999999</v>
      </c>
      <c r="F54">
        <v>770.12861899999996</v>
      </c>
      <c r="G54">
        <v>1.93</v>
      </c>
      <c r="H54">
        <v>0.78543099999999999</v>
      </c>
      <c r="I54">
        <v>209</v>
      </c>
      <c r="J54">
        <v>11</v>
      </c>
      <c r="K54">
        <v>10.78</v>
      </c>
      <c r="L54">
        <v>60255958600</v>
      </c>
      <c r="M54">
        <v>10.87</v>
      </c>
      <c r="N54">
        <v>0.06</v>
      </c>
      <c r="O54">
        <v>74131024100</v>
      </c>
      <c r="P54">
        <v>0.5</v>
      </c>
      <c r="Q54">
        <v>7.0000000000000007E-2</v>
      </c>
      <c r="R54">
        <v>30127979300</v>
      </c>
      <c r="S54">
        <v>0.5</v>
      </c>
      <c r="T54">
        <v>30127979300</v>
      </c>
      <c r="U54">
        <v>10.478999999999999</v>
      </c>
      <c r="V54" t="s">
        <v>25</v>
      </c>
      <c r="AB54">
        <f t="shared" si="0"/>
        <v>574.76120826599993</v>
      </c>
      <c r="AC54">
        <f t="shared" si="1"/>
        <v>1667.5737194819999</v>
      </c>
    </row>
    <row r="55" spans="1:29">
      <c r="A55" t="s">
        <v>78</v>
      </c>
      <c r="B55">
        <v>0.125</v>
      </c>
      <c r="C55">
        <v>0.52</v>
      </c>
      <c r="D55">
        <v>477.65877</v>
      </c>
      <c r="E55">
        <v>1324.526752</v>
      </c>
      <c r="F55">
        <v>970.99641299999996</v>
      </c>
      <c r="G55">
        <v>2.33</v>
      </c>
      <c r="H55">
        <v>1.006151</v>
      </c>
      <c r="I55">
        <v>223</v>
      </c>
      <c r="J55">
        <v>14</v>
      </c>
      <c r="K55">
        <v>10.92</v>
      </c>
      <c r="L55">
        <v>83176377100</v>
      </c>
      <c r="M55">
        <v>11.17</v>
      </c>
      <c r="N55">
        <v>7.0000000000000007E-2</v>
      </c>
      <c r="O55">
        <v>147910839000</v>
      </c>
      <c r="P55">
        <v>0.47</v>
      </c>
      <c r="Q55">
        <v>7.0000000000000007E-2</v>
      </c>
      <c r="R55">
        <v>39092897237</v>
      </c>
      <c r="S55">
        <v>0.53</v>
      </c>
      <c r="T55">
        <v>44083479863</v>
      </c>
      <c r="U55">
        <v>10.644299999999999</v>
      </c>
      <c r="V55" t="s">
        <v>25</v>
      </c>
      <c r="AB55">
        <f t="shared" si="0"/>
        <v>537.36611625</v>
      </c>
      <c r="AC55">
        <f t="shared" si="1"/>
        <v>2013.28066304</v>
      </c>
    </row>
    <row r="56" spans="1:29">
      <c r="A56" t="s">
        <v>79</v>
      </c>
      <c r="B56">
        <v>0.35799999999999998</v>
      </c>
      <c r="C56">
        <v>0.71699999999999997</v>
      </c>
      <c r="D56">
        <v>1066.613206</v>
      </c>
      <c r="E56">
        <v>1531.5349209999999</v>
      </c>
      <c r="F56">
        <v>687.93519300000003</v>
      </c>
      <c r="G56">
        <v>6.55</v>
      </c>
      <c r="H56">
        <v>1.2666580000000001</v>
      </c>
      <c r="I56">
        <v>264</v>
      </c>
      <c r="J56">
        <v>26</v>
      </c>
      <c r="K56">
        <v>11.68</v>
      </c>
      <c r="L56">
        <v>478630092000</v>
      </c>
      <c r="M56">
        <v>11.78</v>
      </c>
      <c r="N56">
        <v>0.09</v>
      </c>
      <c r="O56">
        <v>602559586000</v>
      </c>
      <c r="P56">
        <v>0.38</v>
      </c>
      <c r="Q56">
        <v>0.08</v>
      </c>
      <c r="R56">
        <v>181879434960</v>
      </c>
      <c r="S56">
        <v>0.62</v>
      </c>
      <c r="T56">
        <v>296750657040</v>
      </c>
      <c r="U56">
        <v>11.4724</v>
      </c>
      <c r="V56" t="s">
        <v>25</v>
      </c>
      <c r="AB56">
        <f t="shared" si="0"/>
        <v>1448.4607337480002</v>
      </c>
      <c r="AC56">
        <f t="shared" si="1"/>
        <v>2629.6454593570002</v>
      </c>
    </row>
    <row r="57" spans="1:29">
      <c r="A57" t="s">
        <v>80</v>
      </c>
      <c r="B57">
        <v>0.16</v>
      </c>
      <c r="C57">
        <v>0.74399999999999999</v>
      </c>
      <c r="D57">
        <v>587.75857299999996</v>
      </c>
      <c r="E57">
        <v>1553.0457369999999</v>
      </c>
      <c r="F57">
        <v>1162.1054019999999</v>
      </c>
      <c r="G57">
        <v>4.71</v>
      </c>
      <c r="H57">
        <v>1.6529020000000001</v>
      </c>
      <c r="I57">
        <v>279</v>
      </c>
      <c r="J57">
        <v>12</v>
      </c>
      <c r="K57">
        <v>11.43</v>
      </c>
      <c r="L57">
        <v>269153480000</v>
      </c>
      <c r="M57">
        <v>11.43</v>
      </c>
      <c r="N57">
        <v>0.09</v>
      </c>
      <c r="O57">
        <v>269153480000</v>
      </c>
      <c r="P57">
        <v>0.37</v>
      </c>
      <c r="Q57">
        <v>0.08</v>
      </c>
      <c r="R57">
        <v>99586787600</v>
      </c>
      <c r="S57">
        <v>0.63</v>
      </c>
      <c r="T57">
        <v>169566692400</v>
      </c>
      <c r="U57">
        <v>11.2293</v>
      </c>
      <c r="V57" t="s">
        <v>25</v>
      </c>
      <c r="AB57">
        <f t="shared" si="0"/>
        <v>681.79994467999995</v>
      </c>
      <c r="AC57">
        <f t="shared" si="1"/>
        <v>2708.5117653279999</v>
      </c>
    </row>
    <row r="58" spans="1:29">
      <c r="A58" t="s">
        <v>81</v>
      </c>
      <c r="B58">
        <v>0.14299999999999999</v>
      </c>
      <c r="C58">
        <v>0.53100000000000003</v>
      </c>
      <c r="D58">
        <v>535.41553599999997</v>
      </c>
      <c r="E58">
        <v>1338.782862</v>
      </c>
      <c r="F58">
        <v>939.05722000000003</v>
      </c>
      <c r="G58">
        <v>2.5</v>
      </c>
      <c r="H58">
        <v>0.96310600000000002</v>
      </c>
      <c r="I58">
        <v>189</v>
      </c>
      <c r="J58">
        <v>12</v>
      </c>
      <c r="K58">
        <v>10.95</v>
      </c>
      <c r="L58">
        <v>89125093800</v>
      </c>
      <c r="M58">
        <v>11.03</v>
      </c>
      <c r="N58">
        <v>0.08</v>
      </c>
      <c r="O58">
        <v>107151931000</v>
      </c>
      <c r="P58">
        <v>0.48</v>
      </c>
      <c r="Q58">
        <v>0.08</v>
      </c>
      <c r="R58">
        <v>42780045024</v>
      </c>
      <c r="S58">
        <v>0.52</v>
      </c>
      <c r="T58">
        <v>46345048776</v>
      </c>
      <c r="U58">
        <v>10.666</v>
      </c>
      <c r="V58" t="s">
        <v>25</v>
      </c>
      <c r="AB58">
        <f t="shared" si="0"/>
        <v>611.97995764799998</v>
      </c>
      <c r="AC58">
        <f t="shared" si="1"/>
        <v>2049.6765617220003</v>
      </c>
    </row>
    <row r="59" spans="1:29">
      <c r="A59" t="s">
        <v>82</v>
      </c>
      <c r="B59">
        <v>0.17799999999999999</v>
      </c>
      <c r="C59">
        <v>0.81100000000000005</v>
      </c>
      <c r="D59">
        <v>640.94946100000004</v>
      </c>
      <c r="E59">
        <v>1600.6246160000001</v>
      </c>
      <c r="F59">
        <v>1183.7066339999999</v>
      </c>
      <c r="G59">
        <v>2.54</v>
      </c>
      <c r="H59">
        <v>0.81740100000000004</v>
      </c>
      <c r="I59">
        <v>182</v>
      </c>
      <c r="J59">
        <v>13</v>
      </c>
      <c r="K59">
        <v>10.86</v>
      </c>
      <c r="L59">
        <v>72443596000</v>
      </c>
      <c r="M59">
        <v>11.21</v>
      </c>
      <c r="N59">
        <v>0.13</v>
      </c>
      <c r="O59">
        <v>162181010000</v>
      </c>
      <c r="P59">
        <v>0.48</v>
      </c>
      <c r="Q59">
        <v>0.15</v>
      </c>
      <c r="R59">
        <v>34772926080</v>
      </c>
      <c r="S59">
        <v>0.52</v>
      </c>
      <c r="T59">
        <v>37670669920</v>
      </c>
      <c r="U59">
        <v>10.576000000000001</v>
      </c>
      <c r="V59" t="s">
        <v>25</v>
      </c>
      <c r="AB59">
        <f t="shared" si="0"/>
        <v>755.03846505800004</v>
      </c>
      <c r="AC59">
        <f t="shared" si="1"/>
        <v>2898.7311795760002</v>
      </c>
    </row>
    <row r="60" spans="1:29">
      <c r="A60" t="s">
        <v>83</v>
      </c>
      <c r="B60">
        <v>0.245</v>
      </c>
      <c r="C60">
        <v>0.60199999999999998</v>
      </c>
      <c r="D60">
        <v>820.40974200000005</v>
      </c>
      <c r="E60">
        <v>1422.4970410000001</v>
      </c>
      <c r="F60">
        <v>784.912691</v>
      </c>
      <c r="G60">
        <v>4.97</v>
      </c>
      <c r="H60">
        <v>1.2495419999999999</v>
      </c>
      <c r="I60">
        <v>236</v>
      </c>
      <c r="J60">
        <v>20</v>
      </c>
      <c r="K60">
        <v>11.47</v>
      </c>
      <c r="L60">
        <v>295120923000</v>
      </c>
      <c r="M60">
        <v>11.45</v>
      </c>
      <c r="N60">
        <v>0.06</v>
      </c>
      <c r="O60">
        <v>281838293000</v>
      </c>
      <c r="P60">
        <v>0.34</v>
      </c>
      <c r="Q60">
        <v>0.05</v>
      </c>
      <c r="R60">
        <v>100341113820</v>
      </c>
      <c r="S60">
        <v>0.66</v>
      </c>
      <c r="T60">
        <v>194779809179.99899</v>
      </c>
      <c r="U60">
        <v>11.2895</v>
      </c>
      <c r="V60" t="s">
        <v>25</v>
      </c>
      <c r="AB60">
        <f t="shared" si="0"/>
        <v>1021.4101287900002</v>
      </c>
      <c r="AC60">
        <f t="shared" si="1"/>
        <v>2278.8402596820001</v>
      </c>
    </row>
    <row r="61" spans="1:29">
      <c r="A61" t="s">
        <v>84</v>
      </c>
      <c r="B61">
        <v>0.20799999999999999</v>
      </c>
      <c r="C61">
        <v>0.52400000000000002</v>
      </c>
      <c r="D61">
        <v>724.77303800000004</v>
      </c>
      <c r="E61">
        <v>1329.7530139999999</v>
      </c>
      <c r="F61">
        <v>755.26099999999997</v>
      </c>
      <c r="G61">
        <v>4.18</v>
      </c>
      <c r="H61">
        <v>1.1895960000000001</v>
      </c>
      <c r="I61">
        <v>290</v>
      </c>
      <c r="J61">
        <v>14</v>
      </c>
      <c r="K61">
        <v>11.36</v>
      </c>
      <c r="L61">
        <v>229086765000</v>
      </c>
      <c r="M61">
        <v>11.45</v>
      </c>
      <c r="N61">
        <v>0.09</v>
      </c>
      <c r="O61">
        <v>281838293000</v>
      </c>
      <c r="P61">
        <v>0.46</v>
      </c>
      <c r="Q61">
        <v>0.09</v>
      </c>
      <c r="R61">
        <v>105379911900</v>
      </c>
      <c r="S61">
        <v>0.54</v>
      </c>
      <c r="T61">
        <v>123706853100</v>
      </c>
      <c r="U61">
        <v>11.0924</v>
      </c>
      <c r="V61" t="s">
        <v>25</v>
      </c>
      <c r="AB61">
        <f t="shared" si="0"/>
        <v>875.52582990400003</v>
      </c>
      <c r="AC61">
        <f t="shared" si="1"/>
        <v>2026.543593336</v>
      </c>
    </row>
    <row r="62" spans="1:29">
      <c r="A62" t="s">
        <v>85</v>
      </c>
      <c r="B62">
        <v>0.248</v>
      </c>
      <c r="C62">
        <v>0.79300000000000004</v>
      </c>
      <c r="D62">
        <v>827.81020999999998</v>
      </c>
      <c r="E62">
        <v>1588.6126469999999</v>
      </c>
      <c r="F62">
        <v>1012.423499</v>
      </c>
      <c r="G62">
        <v>6.91</v>
      </c>
      <c r="H62">
        <v>1.721759</v>
      </c>
      <c r="I62">
        <v>276</v>
      </c>
      <c r="J62">
        <v>16</v>
      </c>
      <c r="K62">
        <v>11.69</v>
      </c>
      <c r="L62">
        <v>489778819000</v>
      </c>
      <c r="M62">
        <v>11.61</v>
      </c>
      <c r="N62">
        <v>7.0000000000000007E-2</v>
      </c>
      <c r="O62">
        <v>407380278000</v>
      </c>
      <c r="P62">
        <v>0.39</v>
      </c>
      <c r="Q62">
        <v>7.0000000000000007E-2</v>
      </c>
      <c r="R62">
        <v>191013739410</v>
      </c>
      <c r="S62">
        <v>0.61</v>
      </c>
      <c r="T62">
        <v>298765079590</v>
      </c>
      <c r="U62">
        <v>11.475300000000001</v>
      </c>
      <c r="V62" t="s">
        <v>25</v>
      </c>
      <c r="AB62">
        <f t="shared" si="0"/>
        <v>1033.1071420799999</v>
      </c>
      <c r="AC62">
        <f t="shared" si="1"/>
        <v>2848.3824760709999</v>
      </c>
    </row>
    <row r="63" spans="1:29">
      <c r="A63" t="s">
        <v>86</v>
      </c>
      <c r="B63">
        <v>0.22800000000000001</v>
      </c>
      <c r="C63">
        <v>0.67500000000000004</v>
      </c>
      <c r="D63">
        <v>777.48758599999996</v>
      </c>
      <c r="E63">
        <v>1495.1418590000001</v>
      </c>
      <c r="F63">
        <v>925.13901999999996</v>
      </c>
      <c r="G63">
        <v>3.96</v>
      </c>
      <c r="H63">
        <v>1.0505739999999999</v>
      </c>
      <c r="I63">
        <v>231</v>
      </c>
      <c r="J63">
        <v>15</v>
      </c>
      <c r="K63">
        <v>11.25</v>
      </c>
      <c r="L63">
        <v>177827941000</v>
      </c>
      <c r="M63">
        <v>11.38</v>
      </c>
      <c r="N63">
        <v>0.08</v>
      </c>
      <c r="O63">
        <v>239883292000</v>
      </c>
      <c r="P63">
        <v>0.53</v>
      </c>
      <c r="Q63">
        <v>0.1</v>
      </c>
      <c r="R63">
        <v>94248808730</v>
      </c>
      <c r="S63">
        <v>0.47</v>
      </c>
      <c r="T63">
        <v>83579132270</v>
      </c>
      <c r="U63">
        <v>10.9221</v>
      </c>
      <c r="V63" t="s">
        <v>25</v>
      </c>
      <c r="AB63">
        <f t="shared" si="0"/>
        <v>954.75475560799998</v>
      </c>
      <c r="AC63">
        <f t="shared" si="1"/>
        <v>2504.3626138250002</v>
      </c>
    </row>
    <row r="64" spans="1:29">
      <c r="A64" t="s">
        <v>87</v>
      </c>
      <c r="B64">
        <v>0.13700000000000001</v>
      </c>
      <c r="C64">
        <v>0.61</v>
      </c>
      <c r="D64">
        <v>516.43541500000003</v>
      </c>
      <c r="E64">
        <v>1431.0850270000001</v>
      </c>
      <c r="F64">
        <v>1066.3725629999999</v>
      </c>
      <c r="G64">
        <v>3.07</v>
      </c>
      <c r="H64">
        <v>1.2261610000000001</v>
      </c>
      <c r="I64">
        <v>229</v>
      </c>
      <c r="J64">
        <v>12</v>
      </c>
      <c r="K64">
        <v>11.12</v>
      </c>
      <c r="L64">
        <v>131825674000</v>
      </c>
      <c r="M64">
        <v>11.18</v>
      </c>
      <c r="N64">
        <v>0.09</v>
      </c>
      <c r="O64">
        <v>151356125000</v>
      </c>
      <c r="P64">
        <v>0.46</v>
      </c>
      <c r="Q64">
        <v>0.09</v>
      </c>
      <c r="R64">
        <v>60639810040</v>
      </c>
      <c r="S64">
        <v>0.54</v>
      </c>
      <c r="T64">
        <v>71185863960</v>
      </c>
      <c r="U64">
        <v>10.852399999999999</v>
      </c>
      <c r="V64" t="s">
        <v>25</v>
      </c>
      <c r="AB64">
        <f t="shared" si="0"/>
        <v>587.18706685500001</v>
      </c>
      <c r="AC64">
        <f t="shared" si="1"/>
        <v>2304.0468934699998</v>
      </c>
    </row>
    <row r="65" spans="1:29">
      <c r="A65" t="s">
        <v>88</v>
      </c>
      <c r="B65">
        <v>0.18099999999999999</v>
      </c>
      <c r="C65">
        <v>0.57799999999999996</v>
      </c>
      <c r="D65">
        <v>649.59859500000005</v>
      </c>
      <c r="E65">
        <v>1395.741448</v>
      </c>
      <c r="F65">
        <v>909.57165099999997</v>
      </c>
      <c r="G65">
        <v>3.89</v>
      </c>
      <c r="H65">
        <v>1.2351780000000001</v>
      </c>
      <c r="I65">
        <v>286</v>
      </c>
      <c r="J65">
        <v>15</v>
      </c>
      <c r="K65">
        <v>11.28</v>
      </c>
      <c r="L65">
        <v>190546072000</v>
      </c>
      <c r="M65">
        <v>11.22</v>
      </c>
      <c r="N65">
        <v>0.08</v>
      </c>
      <c r="O65">
        <v>165958691000</v>
      </c>
      <c r="P65">
        <v>0.4</v>
      </c>
      <c r="Q65">
        <v>0.08</v>
      </c>
      <c r="R65">
        <v>76218428800</v>
      </c>
      <c r="S65">
        <v>0.6</v>
      </c>
      <c r="T65">
        <v>114327643200</v>
      </c>
      <c r="U65">
        <v>11.058199999999999</v>
      </c>
      <c r="V65" t="s">
        <v>25</v>
      </c>
      <c r="AB65">
        <f t="shared" si="0"/>
        <v>767.17594069500012</v>
      </c>
      <c r="AC65">
        <f t="shared" si="1"/>
        <v>2202.4800049439996</v>
      </c>
    </row>
    <row r="66" spans="1:29">
      <c r="A66" t="s">
        <v>89</v>
      </c>
      <c r="B66">
        <v>0.13700000000000001</v>
      </c>
      <c r="C66">
        <v>0.71299999999999997</v>
      </c>
      <c r="D66">
        <v>516.43541500000003</v>
      </c>
      <c r="E66">
        <v>1528.2260100000001</v>
      </c>
      <c r="F66">
        <v>1185.4431340000001</v>
      </c>
      <c r="G66">
        <v>3.08</v>
      </c>
      <c r="H66">
        <v>1.2301550000000001</v>
      </c>
      <c r="I66">
        <v>198</v>
      </c>
      <c r="J66">
        <v>11</v>
      </c>
      <c r="K66">
        <v>11.11</v>
      </c>
      <c r="L66">
        <v>128824955000</v>
      </c>
      <c r="M66">
        <v>11.2</v>
      </c>
      <c r="N66">
        <v>0.06</v>
      </c>
      <c r="O66">
        <v>158489319000</v>
      </c>
      <c r="P66">
        <v>0.41</v>
      </c>
      <c r="Q66">
        <v>0.06</v>
      </c>
      <c r="R66">
        <v>52818231550</v>
      </c>
      <c r="S66">
        <v>0.59</v>
      </c>
      <c r="T66">
        <v>76006723450</v>
      </c>
      <c r="U66">
        <v>10.8809</v>
      </c>
      <c r="V66" t="s">
        <v>25</v>
      </c>
      <c r="AB66">
        <f t="shared" si="0"/>
        <v>587.18706685500001</v>
      </c>
      <c r="AC66">
        <f t="shared" si="1"/>
        <v>2617.8511551300003</v>
      </c>
    </row>
    <row r="67" spans="1:29">
      <c r="A67" t="s">
        <v>90</v>
      </c>
      <c r="B67">
        <v>0.22800000000000001</v>
      </c>
      <c r="C67">
        <v>0.46300000000000002</v>
      </c>
      <c r="D67">
        <v>777.48758599999996</v>
      </c>
      <c r="E67">
        <v>1244.539227</v>
      </c>
      <c r="F67">
        <v>591.93857500000001</v>
      </c>
      <c r="G67">
        <v>4.51</v>
      </c>
      <c r="H67">
        <v>1.196488</v>
      </c>
      <c r="I67">
        <v>279</v>
      </c>
      <c r="J67">
        <v>17</v>
      </c>
      <c r="K67">
        <v>11.47</v>
      </c>
      <c r="L67">
        <v>295120923000</v>
      </c>
      <c r="M67">
        <v>11.4</v>
      </c>
      <c r="N67">
        <v>7.0000000000000007E-2</v>
      </c>
      <c r="O67">
        <v>251188643000</v>
      </c>
      <c r="P67">
        <v>0.33</v>
      </c>
      <c r="Q67">
        <v>0.05</v>
      </c>
      <c r="R67">
        <v>97389904590</v>
      </c>
      <c r="S67">
        <v>0.67</v>
      </c>
      <c r="T67">
        <v>197731018409.99899</v>
      </c>
      <c r="U67">
        <v>11.296099999999999</v>
      </c>
      <c r="V67" t="s">
        <v>25</v>
      </c>
      <c r="AB67">
        <f t="shared" ref="AB67:AB71" si="2">D67*(1+B67)</f>
        <v>954.75475560799998</v>
      </c>
      <c r="AC67">
        <f t="shared" ref="AC67:AC71" si="3">E67*(1+C67)</f>
        <v>1820.760889101</v>
      </c>
    </row>
    <row r="68" spans="1:29">
      <c r="A68" t="s">
        <v>91</v>
      </c>
      <c r="B68">
        <v>0.155</v>
      </c>
      <c r="C68">
        <v>0.51700000000000002</v>
      </c>
      <c r="D68">
        <v>572.58023100000003</v>
      </c>
      <c r="E68">
        <v>1320.575065</v>
      </c>
      <c r="F68">
        <v>884.629009</v>
      </c>
      <c r="G68">
        <v>4.3499999999999996</v>
      </c>
      <c r="H68">
        <v>1.5670329999999999</v>
      </c>
      <c r="I68">
        <v>255</v>
      </c>
      <c r="J68">
        <v>16</v>
      </c>
      <c r="K68">
        <v>11.42</v>
      </c>
      <c r="L68">
        <v>263026799000</v>
      </c>
      <c r="M68">
        <v>11.47</v>
      </c>
      <c r="N68">
        <v>0.06</v>
      </c>
      <c r="O68">
        <v>295120923000</v>
      </c>
      <c r="P68">
        <v>0.34</v>
      </c>
      <c r="Q68">
        <v>0.05</v>
      </c>
      <c r="R68">
        <v>89429111660</v>
      </c>
      <c r="S68">
        <v>0.66</v>
      </c>
      <c r="T68">
        <v>173597687339.99899</v>
      </c>
      <c r="U68">
        <v>11.2395</v>
      </c>
      <c r="V68" t="s">
        <v>25</v>
      </c>
      <c r="AB68">
        <f t="shared" si="2"/>
        <v>661.33016680500009</v>
      </c>
      <c r="AC68">
        <f t="shared" si="3"/>
        <v>2003.3123736049999</v>
      </c>
    </row>
    <row r="69" spans="1:29">
      <c r="A69" t="s">
        <v>92</v>
      </c>
      <c r="B69">
        <v>8.2000000000000003E-2</v>
      </c>
      <c r="C69">
        <v>0.53200000000000003</v>
      </c>
      <c r="D69">
        <v>329.27701400000001</v>
      </c>
      <c r="E69">
        <v>1340.060882</v>
      </c>
      <c r="F69">
        <v>1107.5036170000001</v>
      </c>
      <c r="G69">
        <v>2.4700000000000002</v>
      </c>
      <c r="H69">
        <v>1.5472509999999999</v>
      </c>
      <c r="I69">
        <v>249</v>
      </c>
      <c r="J69">
        <v>8</v>
      </c>
      <c r="K69">
        <v>11.08</v>
      </c>
      <c r="L69">
        <v>120226443000</v>
      </c>
      <c r="M69">
        <v>11.35</v>
      </c>
      <c r="N69">
        <v>0.08</v>
      </c>
      <c r="O69">
        <v>223872114000</v>
      </c>
      <c r="P69">
        <v>0.48</v>
      </c>
      <c r="Q69">
        <v>0.09</v>
      </c>
      <c r="R69">
        <v>57708692640</v>
      </c>
      <c r="S69">
        <v>0.52</v>
      </c>
      <c r="T69">
        <v>62517750360</v>
      </c>
      <c r="U69">
        <v>10.795999999999999</v>
      </c>
      <c r="V69" t="s">
        <v>25</v>
      </c>
      <c r="AB69">
        <f t="shared" si="2"/>
        <v>356.27772914800005</v>
      </c>
      <c r="AC69">
        <f t="shared" si="3"/>
        <v>2052.9732712240002</v>
      </c>
    </row>
    <row r="70" spans="1:29">
      <c r="A70" t="s">
        <v>93</v>
      </c>
      <c r="B70">
        <v>0.186</v>
      </c>
      <c r="C70">
        <v>0.80700000000000005</v>
      </c>
      <c r="D70">
        <v>663.87964599999998</v>
      </c>
      <c r="E70">
        <v>1598.0021139999999</v>
      </c>
      <c r="F70">
        <v>1162.2736910000001</v>
      </c>
      <c r="G70">
        <v>4.5</v>
      </c>
      <c r="H70">
        <v>1.3981319999999999</v>
      </c>
      <c r="I70">
        <v>207</v>
      </c>
      <c r="J70">
        <v>13</v>
      </c>
      <c r="K70">
        <v>11.35</v>
      </c>
      <c r="L70">
        <v>223872114000</v>
      </c>
      <c r="M70">
        <v>11.48</v>
      </c>
      <c r="N70">
        <v>0.08</v>
      </c>
      <c r="O70">
        <v>301995172000</v>
      </c>
      <c r="P70">
        <v>0.38</v>
      </c>
      <c r="Q70">
        <v>7.0000000000000007E-2</v>
      </c>
      <c r="R70">
        <v>85071403320</v>
      </c>
      <c r="S70">
        <v>0.62</v>
      </c>
      <c r="T70">
        <v>138800710680</v>
      </c>
      <c r="U70">
        <v>11.1424</v>
      </c>
      <c r="V70" t="s">
        <v>25</v>
      </c>
      <c r="AB70">
        <f t="shared" si="2"/>
        <v>787.36126015599996</v>
      </c>
      <c r="AC70">
        <f t="shared" si="3"/>
        <v>2887.5898199979997</v>
      </c>
    </row>
    <row r="71" spans="1:29">
      <c r="A71" t="s">
        <v>94</v>
      </c>
      <c r="B71">
        <v>0.41699999999999998</v>
      </c>
      <c r="C71">
        <v>0.71399999999999997</v>
      </c>
      <c r="D71">
        <v>1171.8521949999999</v>
      </c>
      <c r="E71">
        <v>1529.056255</v>
      </c>
      <c r="F71">
        <v>560.26129500000002</v>
      </c>
      <c r="G71">
        <v>6.1</v>
      </c>
      <c r="H71">
        <v>1.073698</v>
      </c>
      <c r="I71">
        <v>404</v>
      </c>
      <c r="J71">
        <v>59</v>
      </c>
      <c r="K71">
        <v>11.67</v>
      </c>
      <c r="L71">
        <v>467735141000</v>
      </c>
      <c r="M71">
        <v>11.58</v>
      </c>
      <c r="N71">
        <v>0.09</v>
      </c>
      <c r="O71">
        <v>380189396000</v>
      </c>
      <c r="P71">
        <v>0.35</v>
      </c>
      <c r="Q71">
        <v>7.0000000000000007E-2</v>
      </c>
      <c r="R71">
        <v>163707299350</v>
      </c>
      <c r="S71">
        <v>0.65</v>
      </c>
      <c r="T71">
        <v>304027841650</v>
      </c>
      <c r="U71">
        <v>11.482900000000001</v>
      </c>
      <c r="V71" t="s">
        <v>25</v>
      </c>
      <c r="AB71">
        <f t="shared" si="2"/>
        <v>1660.5145603149999</v>
      </c>
      <c r="AC71">
        <f t="shared" si="3"/>
        <v>2620.80242107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Sun, Leiyi</cp:lastModifiedBy>
  <cp:revision/>
  <dcterms:created xsi:type="dcterms:W3CDTF">2026-06-06T17:16:12Z</dcterms:created>
  <dcterms:modified xsi:type="dcterms:W3CDTF">2026-06-10T09:51:29Z</dcterms:modified>
  <cp:category/>
  <cp:contentStatus/>
</cp:coreProperties>
</file>